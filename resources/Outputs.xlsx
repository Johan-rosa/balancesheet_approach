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uzz/Library/CloudStorage/Dropbox/CMCA/Investigaciones/BSA/"/>
    </mc:Choice>
  </mc:AlternateContent>
  <xr:revisionPtr revIDLastSave="0" documentId="13_ncr:2001_{EE148D1C-4CBC-4047-9F58-59CED7290C5E}" xr6:coauthVersionLast="47" xr6:coauthVersionMax="47" xr10:uidLastSave="{00000000-0000-0000-0000-000000000000}"/>
  <bookViews>
    <workbookView xWindow="0" yWindow="600" windowWidth="28800" windowHeight="15720" activeTab="1" xr2:uid="{C306625E-7475-004F-9A68-BE044CEA3A69}"/>
  </bookViews>
  <sheets>
    <sheet name="BSA" sheetId="1" r:id="rId1"/>
    <sheet name="Posición Sectorial a PIB" sheetId="3" r:id="rId2"/>
    <sheet name="Posición Sectorial en ME" sheetId="4" r:id="rId3"/>
  </sheets>
  <definedNames>
    <definedName name="__123Graph_A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urrent" hidden="1">#REF!</definedName>
    <definedName name="__123Graph_AREER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urrent" hidden="1">#REF!</definedName>
    <definedName name="__123Graph_BREER" hidden="1">#REF!</definedName>
    <definedName name="__123Graph_C" hidden="1">#REF!</definedName>
    <definedName name="__123Graph_CREER" hidden="1">#REF!</definedName>
    <definedName name="__123Graph_D" hidden="1">#REF!</definedName>
    <definedName name="__123Graph_E" hidden="1">#REF!</definedName>
    <definedName name="__123Graph_X" hidden="1">#REF!</definedName>
    <definedName name="_3__123Graph_ACPI_ER_LOG" hidden="1">#REF!</definedName>
    <definedName name="_4__123Graph_BCPI_ER_LOG" hidden="1">#REF!</definedName>
    <definedName name="_5__123Graph_BIBA_IBRD" hidden="1">#REF!</definedName>
    <definedName name="_Fill" hidden="1">#REF!</definedName>
    <definedName name="_Order1" hidden="1">0</definedName>
    <definedName name="_Order2" hidden="1">0</definedName>
    <definedName name="_Parse_Out" hidden="1">#REF!</definedName>
    <definedName name="_Regression_Out" hidden="1">#REF!</definedName>
    <definedName name="_Regression_X" hidden="1">#REF!</definedName>
    <definedName name="_Regression_Y" hidden="1">#REF!</definedName>
    <definedName name="\A">#REF!</definedName>
    <definedName name="\F">#REF!</definedName>
    <definedName name="\I">#REF!</definedName>
    <definedName name="\K">#REF!</definedName>
    <definedName name="\M">#REF!</definedName>
    <definedName name="\P">#REF!</definedName>
    <definedName name="\S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BAL">#REF!</definedName>
    <definedName name="bc" hidden="1">#REF!</definedName>
    <definedName name="BCH_10G">#REF!</definedName>
    <definedName name="BCRD15" hidden="1">#REF!</definedName>
    <definedName name="_xlnm.Database">#REF!</definedName>
    <definedName name="HTML_CodePage" hidden="1">1252</definedName>
    <definedName name="HTML_Control" hidden="1">{"'para SB'!$A$1318:$F$1381"}</definedName>
    <definedName name="HTML_Description" hidden="1">""</definedName>
    <definedName name="HTML_Email" hidden="1">""</definedName>
    <definedName name="HTML_Header" hidden="1">""</definedName>
    <definedName name="HTML_LastUpdate" hidden="1">"25/04/00"</definedName>
    <definedName name="HTML_LineAfter" hidden="1">FALSE</definedName>
    <definedName name="HTML_LineBefore" hidden="1">FALSE</definedName>
    <definedName name="HTML_Name" hidden="1">"Jimmy Irias"</definedName>
    <definedName name="HTML_OBDlg2" hidden="1">TRUE</definedName>
    <definedName name="HTML_OBDlg4" hidden="1">TRUE</definedName>
    <definedName name="HTML_OS" hidden="1">0</definedName>
    <definedName name="HTML_PathFile" hidden="1">"A:\tasaintss.htm"</definedName>
    <definedName name="HTML_Title" hidden="1">""</definedName>
    <definedName name="no" hidden="1">#REF!</definedName>
    <definedName name="qqq" hidden="1">{#N/A,#N/A,FALSE,"EXTRABUDGT"}</definedName>
    <definedName name="sencount" hidden="1">2</definedName>
    <definedName name="Tasas_Interes_06R">#REF!</definedName>
    <definedName name="wrn.BANKS." hidden="1">{#N/A,#N/A,FALSE,"BANKS"}</definedName>
    <definedName name="wrn.BOP_MIDTERM." hidden="1">{"BOP_TAB",#N/A,FALSE,"N";"MIDTERM_TAB",#N/A,FALSE,"O"}</definedName>
    <definedName name="wrn.BOP." hidden="1">{#N/A,#N/A,FALSE,"BOP"}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XX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5" i="4" l="1"/>
  <c r="E84" i="4"/>
  <c r="S14" i="4" s="1"/>
  <c r="Z13" i="4"/>
  <c r="E83" i="4"/>
  <c r="S13" i="4" s="1"/>
  <c r="Z12" i="4"/>
  <c r="E82" i="4"/>
  <c r="S12" i="4" s="1"/>
  <c r="Z11" i="4"/>
  <c r="Z10" i="4"/>
  <c r="E80" i="4"/>
  <c r="S10" i="4" s="1"/>
  <c r="Z9" i="4"/>
  <c r="E79" i="4"/>
  <c r="S9" i="4" s="1"/>
  <c r="Z8" i="4"/>
  <c r="E78" i="4"/>
  <c r="S8" i="4" s="1"/>
  <c r="Z7" i="4"/>
  <c r="E77" i="4"/>
  <c r="S7" i="4" s="1"/>
  <c r="Z6" i="4"/>
  <c r="E76" i="4"/>
  <c r="S6" i="4" s="1"/>
  <c r="Z5" i="4"/>
  <c r="E75" i="4"/>
  <c r="S5" i="4" s="1"/>
  <c r="Z4" i="4"/>
  <c r="E74" i="4"/>
  <c r="S4" i="4" s="1"/>
  <c r="E68" i="4"/>
  <c r="R15" i="4" s="1"/>
  <c r="Y14" i="4"/>
  <c r="E67" i="4"/>
  <c r="R14" i="4" s="1"/>
  <c r="Y13" i="4"/>
  <c r="E66" i="4"/>
  <c r="R13" i="4" s="1"/>
  <c r="Y12" i="4"/>
  <c r="E65" i="4"/>
  <c r="R12" i="4" s="1"/>
  <c r="Y11" i="4"/>
  <c r="E64" i="4"/>
  <c r="R11" i="4" s="1"/>
  <c r="Y10" i="4"/>
  <c r="E63" i="4"/>
  <c r="R10" i="4" s="1"/>
  <c r="Y9" i="4"/>
  <c r="E62" i="4"/>
  <c r="R9" i="4" s="1"/>
  <c r="Y8" i="4"/>
  <c r="E61" i="4"/>
  <c r="R8" i="4" s="1"/>
  <c r="Y7" i="4"/>
  <c r="E60" i="4"/>
  <c r="R7" i="4" s="1"/>
  <c r="Y6" i="4"/>
  <c r="E59" i="4"/>
  <c r="R6" i="4" s="1"/>
  <c r="Y5" i="4"/>
  <c r="E58" i="4"/>
  <c r="R5" i="4" s="1"/>
  <c r="Y4" i="4"/>
  <c r="E57" i="4"/>
  <c r="R4" i="4" s="1"/>
  <c r="E50" i="4"/>
  <c r="E49" i="4"/>
  <c r="Q14" i="4" s="1"/>
  <c r="X13" i="4"/>
  <c r="E48" i="4"/>
  <c r="Q13" i="4" s="1"/>
  <c r="X12" i="4"/>
  <c r="E47" i="4"/>
  <c r="Q12" i="4" s="1"/>
  <c r="X11" i="4"/>
  <c r="E46" i="4"/>
  <c r="Q11" i="4" s="1"/>
  <c r="X10" i="4"/>
  <c r="E45" i="4"/>
  <c r="Q10" i="4" s="1"/>
  <c r="X9" i="4"/>
  <c r="E44" i="4"/>
  <c r="Q9" i="4" s="1"/>
  <c r="X8" i="4"/>
  <c r="E43" i="4"/>
  <c r="Q8" i="4" s="1"/>
  <c r="X7" i="4"/>
  <c r="E42" i="4"/>
  <c r="Q7" i="4" s="1"/>
  <c r="X6" i="4"/>
  <c r="E40" i="4"/>
  <c r="Q5" i="4" s="1"/>
  <c r="X4" i="4"/>
  <c r="E39" i="4"/>
  <c r="Q4" i="4" s="1"/>
  <c r="E33" i="4"/>
  <c r="P15" i="4" s="1"/>
  <c r="W14" i="4"/>
  <c r="E32" i="4"/>
  <c r="P14" i="4" s="1"/>
  <c r="W13" i="4"/>
  <c r="E31" i="4"/>
  <c r="P13" i="4" s="1"/>
  <c r="W12" i="4"/>
  <c r="E30" i="4"/>
  <c r="P12" i="4" s="1"/>
  <c r="W11" i="4"/>
  <c r="E29" i="4"/>
  <c r="P11" i="4" s="1"/>
  <c r="W10" i="4"/>
  <c r="E28" i="4"/>
  <c r="P10" i="4" s="1"/>
  <c r="W9" i="4"/>
  <c r="E27" i="4"/>
  <c r="P9" i="4" s="1"/>
  <c r="W8" i="4"/>
  <c r="E26" i="4"/>
  <c r="P8" i="4" s="1"/>
  <c r="W7" i="4"/>
  <c r="E25" i="4"/>
  <c r="P7" i="4" s="1"/>
  <c r="W6" i="4"/>
  <c r="E24" i="4"/>
  <c r="P6" i="4" s="1"/>
  <c r="W5" i="4"/>
  <c r="W4" i="4"/>
  <c r="E22" i="4"/>
  <c r="P4" i="4" s="1"/>
  <c r="Z14" i="4"/>
  <c r="X14" i="4"/>
  <c r="V10" i="4"/>
  <c r="AA10" i="4" s="1"/>
  <c r="X5" i="4"/>
  <c r="E121" i="3"/>
  <c r="U15" i="3" s="1"/>
  <c r="E120" i="3"/>
  <c r="U14" i="3" s="1"/>
  <c r="E119" i="3"/>
  <c r="U13" i="3" s="1"/>
  <c r="E118" i="3"/>
  <c r="U12" i="3" s="1"/>
  <c r="E117" i="3"/>
  <c r="U11" i="3" s="1"/>
  <c r="E116" i="3"/>
  <c r="U10" i="3" s="1"/>
  <c r="E115" i="3"/>
  <c r="U9" i="3" s="1"/>
  <c r="E113" i="3"/>
  <c r="U7" i="3" s="1"/>
  <c r="E112" i="3"/>
  <c r="U6" i="3" s="1"/>
  <c r="E110" i="3"/>
  <c r="U4" i="3" s="1"/>
  <c r="AA16" i="3"/>
  <c r="E86" i="3"/>
  <c r="S16" i="3" s="1"/>
  <c r="AA15" i="3"/>
  <c r="E85" i="3"/>
  <c r="S15" i="3" s="1"/>
  <c r="AA14" i="3"/>
  <c r="E84" i="3"/>
  <c r="S14" i="3" s="1"/>
  <c r="AA13" i="3"/>
  <c r="E83" i="3"/>
  <c r="S13" i="3" s="1"/>
  <c r="AA12" i="3"/>
  <c r="E82" i="3"/>
  <c r="S12" i="3" s="1"/>
  <c r="AA11" i="3"/>
  <c r="E81" i="3"/>
  <c r="S11" i="3" s="1"/>
  <c r="AA10" i="3"/>
  <c r="E80" i="3"/>
  <c r="S10" i="3" s="1"/>
  <c r="AA9" i="3"/>
  <c r="E79" i="3"/>
  <c r="S9" i="3" s="1"/>
  <c r="AA8" i="3"/>
  <c r="E78" i="3"/>
  <c r="S8" i="3" s="1"/>
  <c r="AA7" i="3"/>
  <c r="E77" i="3"/>
  <c r="S7" i="3" s="1"/>
  <c r="AA6" i="3"/>
  <c r="E76" i="3"/>
  <c r="S6" i="3" s="1"/>
  <c r="AA5" i="3"/>
  <c r="E75" i="3"/>
  <c r="S5" i="3" s="1"/>
  <c r="AA4" i="3"/>
  <c r="E74" i="3"/>
  <c r="S4" i="3" s="1"/>
  <c r="Z16" i="3"/>
  <c r="E69" i="3"/>
  <c r="R16" i="3" s="1"/>
  <c r="Z15" i="3"/>
  <c r="E68" i="3"/>
  <c r="R15" i="3" s="1"/>
  <c r="Z14" i="3"/>
  <c r="E63" i="3"/>
  <c r="R10" i="3" s="1"/>
  <c r="T10" i="3" s="1"/>
  <c r="E58" i="3"/>
  <c r="R5" i="3" s="1"/>
  <c r="Z4" i="3"/>
  <c r="Y15" i="3"/>
  <c r="E50" i="3"/>
  <c r="Q15" i="3" s="1"/>
  <c r="E49" i="3"/>
  <c r="Q14" i="3" s="1"/>
  <c r="Y13" i="3"/>
  <c r="E48" i="3"/>
  <c r="Q13" i="3" s="1"/>
  <c r="Y12" i="3"/>
  <c r="E47" i="3"/>
  <c r="Q12" i="3" s="1"/>
  <c r="Y11" i="3"/>
  <c r="E46" i="3"/>
  <c r="Q11" i="3" s="1"/>
  <c r="Y10" i="3"/>
  <c r="E45" i="3"/>
  <c r="Q10" i="3" s="1"/>
  <c r="Y9" i="3"/>
  <c r="E44" i="3"/>
  <c r="Q9" i="3" s="1"/>
  <c r="Y8" i="3"/>
  <c r="E43" i="3"/>
  <c r="Q8" i="3" s="1"/>
  <c r="Y7" i="3"/>
  <c r="E42" i="3"/>
  <c r="Q7" i="3" s="1"/>
  <c r="Y6" i="3"/>
  <c r="E41" i="3"/>
  <c r="Q6" i="3" s="1"/>
  <c r="Y5" i="3"/>
  <c r="E40" i="3"/>
  <c r="Q5" i="3" s="1"/>
  <c r="Y4" i="3"/>
  <c r="E39" i="3"/>
  <c r="Q4" i="3" s="1"/>
  <c r="E32" i="3"/>
  <c r="P14" i="3" s="1"/>
  <c r="X13" i="3"/>
  <c r="E31" i="3"/>
  <c r="P13" i="3" s="1"/>
  <c r="X12" i="3"/>
  <c r="E30" i="3"/>
  <c r="P12" i="3" s="1"/>
  <c r="X11" i="3"/>
  <c r="E29" i="3"/>
  <c r="P11" i="3" s="1"/>
  <c r="X10" i="3"/>
  <c r="E28" i="3"/>
  <c r="P10" i="3" s="1"/>
  <c r="X9" i="3"/>
  <c r="E27" i="3"/>
  <c r="P9" i="3" s="1"/>
  <c r="X8" i="3"/>
  <c r="E26" i="3"/>
  <c r="P8" i="3" s="1"/>
  <c r="X7" i="3"/>
  <c r="X6" i="3"/>
  <c r="E24" i="3"/>
  <c r="P6" i="3" s="1"/>
  <c r="X5" i="3"/>
  <c r="E23" i="3"/>
  <c r="P5" i="3" s="1"/>
  <c r="X4" i="3"/>
  <c r="E22" i="3"/>
  <c r="P4" i="3" s="1"/>
  <c r="W16" i="3"/>
  <c r="E16" i="3"/>
  <c r="O16" i="3" s="1"/>
  <c r="W15" i="3"/>
  <c r="E15" i="3"/>
  <c r="O15" i="3" s="1"/>
  <c r="Y14" i="3"/>
  <c r="W14" i="3"/>
  <c r="W13" i="3"/>
  <c r="E13" i="3"/>
  <c r="O13" i="3" s="1"/>
  <c r="W12" i="3"/>
  <c r="E12" i="3"/>
  <c r="O12" i="3" s="1"/>
  <c r="W11" i="3"/>
  <c r="E11" i="3"/>
  <c r="O11" i="3" s="1"/>
  <c r="W10" i="3"/>
  <c r="E10" i="3"/>
  <c r="O10" i="3" s="1"/>
  <c r="W9" i="3"/>
  <c r="W8" i="3"/>
  <c r="E8" i="3"/>
  <c r="O8" i="3" s="1"/>
  <c r="W7" i="3"/>
  <c r="W6" i="3"/>
  <c r="E6" i="3"/>
  <c r="O6" i="3" s="1"/>
  <c r="W5" i="3"/>
  <c r="E5" i="3"/>
  <c r="O5" i="3" s="1"/>
  <c r="E4" i="3"/>
  <c r="O4" i="3" s="1"/>
  <c r="S15" i="4" l="1"/>
  <c r="C99" i="3"/>
  <c r="E7" i="3"/>
  <c r="O7" i="3" s="1"/>
  <c r="T5" i="3"/>
  <c r="Q15" i="4"/>
  <c r="E14" i="3"/>
  <c r="O14" i="3" s="1"/>
  <c r="V14" i="3" s="1"/>
  <c r="E23" i="4"/>
  <c r="P5" i="4" s="1"/>
  <c r="D99" i="4"/>
  <c r="E122" i="3"/>
  <c r="U16" i="3" s="1"/>
  <c r="E114" i="3"/>
  <c r="U8" i="3" s="1"/>
  <c r="E111" i="3"/>
  <c r="U5" i="3" s="1"/>
  <c r="C94" i="3"/>
  <c r="E25" i="3"/>
  <c r="P7" i="3" s="1"/>
  <c r="E9" i="3"/>
  <c r="O9" i="3" s="1"/>
  <c r="V9" i="3" s="1"/>
  <c r="E81" i="4"/>
  <c r="S11" i="4" s="1"/>
  <c r="E41" i="4"/>
  <c r="Q6" i="4" s="1"/>
  <c r="Y15" i="4"/>
  <c r="Z15" i="4"/>
  <c r="W15" i="4"/>
  <c r="X15" i="4"/>
  <c r="D104" i="4"/>
  <c r="V15" i="4"/>
  <c r="C104" i="4"/>
  <c r="E15" i="4"/>
  <c r="O15" i="4" s="1"/>
  <c r="V14" i="4"/>
  <c r="AA14" i="4" s="1"/>
  <c r="D103" i="4"/>
  <c r="C103" i="4"/>
  <c r="E103" i="4" s="1"/>
  <c r="E14" i="4"/>
  <c r="O14" i="4" s="1"/>
  <c r="D102" i="4"/>
  <c r="V13" i="4"/>
  <c r="AA13" i="4" s="1"/>
  <c r="C102" i="4"/>
  <c r="E102" i="4" s="1"/>
  <c r="E13" i="4"/>
  <c r="O13" i="4" s="1"/>
  <c r="V12" i="4"/>
  <c r="AA12" i="4" s="1"/>
  <c r="D101" i="4"/>
  <c r="C101" i="4"/>
  <c r="E101" i="4" s="1"/>
  <c r="E12" i="4"/>
  <c r="O12" i="4" s="1"/>
  <c r="D100" i="4"/>
  <c r="V11" i="4"/>
  <c r="AA11" i="4" s="1"/>
  <c r="E11" i="4"/>
  <c r="O11" i="4" s="1"/>
  <c r="C100" i="4"/>
  <c r="E100" i="4" s="1"/>
  <c r="C99" i="4"/>
  <c r="E10" i="4"/>
  <c r="O10" i="4" s="1"/>
  <c r="D98" i="4"/>
  <c r="V9" i="4"/>
  <c r="AA9" i="4" s="1"/>
  <c r="E9" i="4"/>
  <c r="O9" i="4" s="1"/>
  <c r="C98" i="4"/>
  <c r="E98" i="4" s="1"/>
  <c r="V8" i="4"/>
  <c r="AA8" i="4" s="1"/>
  <c r="D97" i="4"/>
  <c r="E8" i="4"/>
  <c r="O8" i="4" s="1"/>
  <c r="C97" i="4"/>
  <c r="E97" i="4" s="1"/>
  <c r="V7" i="4"/>
  <c r="AA7" i="4" s="1"/>
  <c r="D96" i="4"/>
  <c r="C96" i="4"/>
  <c r="E96" i="4" s="1"/>
  <c r="E7" i="4"/>
  <c r="O7" i="4" s="1"/>
  <c r="D95" i="4"/>
  <c r="V6" i="4"/>
  <c r="AA6" i="4" s="1"/>
  <c r="C95" i="4"/>
  <c r="E95" i="4" s="1"/>
  <c r="E6" i="4"/>
  <c r="O6" i="4" s="1"/>
  <c r="D94" i="4"/>
  <c r="V5" i="4"/>
  <c r="AA5" i="4" s="1"/>
  <c r="C94" i="4"/>
  <c r="E94" i="4" s="1"/>
  <c r="E5" i="4"/>
  <c r="O5" i="4" s="1"/>
  <c r="D93" i="4"/>
  <c r="V4" i="4"/>
  <c r="AA4" i="4" s="1"/>
  <c r="C93" i="4"/>
  <c r="E93" i="4" s="1"/>
  <c r="E4" i="4"/>
  <c r="O4" i="4" s="1"/>
  <c r="C103" i="3"/>
  <c r="E67" i="3"/>
  <c r="R14" i="3" s="1"/>
  <c r="Z13" i="3"/>
  <c r="AB13" i="3" s="1"/>
  <c r="D102" i="3"/>
  <c r="C102" i="3"/>
  <c r="E102" i="3" s="1"/>
  <c r="M119" i="3" s="1"/>
  <c r="E66" i="3"/>
  <c r="R13" i="3" s="1"/>
  <c r="T13" i="3" s="1"/>
  <c r="D101" i="3"/>
  <c r="Z12" i="3"/>
  <c r="AB12" i="3" s="1"/>
  <c r="C101" i="3"/>
  <c r="E101" i="3" s="1"/>
  <c r="M118" i="3" s="1"/>
  <c r="E65" i="3"/>
  <c r="R12" i="3" s="1"/>
  <c r="T12" i="3" s="1"/>
  <c r="D100" i="3"/>
  <c r="Z11" i="3"/>
  <c r="AB11" i="3" s="1"/>
  <c r="C100" i="3"/>
  <c r="E100" i="3" s="1"/>
  <c r="M117" i="3" s="1"/>
  <c r="E64" i="3"/>
  <c r="R11" i="3" s="1"/>
  <c r="Z10" i="3"/>
  <c r="AB10" i="3" s="1"/>
  <c r="D99" i="3"/>
  <c r="D98" i="3"/>
  <c r="Z9" i="3"/>
  <c r="AB9" i="3" s="1"/>
  <c r="C98" i="3"/>
  <c r="E98" i="3" s="1"/>
  <c r="M115" i="3" s="1"/>
  <c r="E62" i="3"/>
  <c r="R9" i="3" s="1"/>
  <c r="Z8" i="3"/>
  <c r="AB8" i="3" s="1"/>
  <c r="D97" i="3"/>
  <c r="E61" i="3"/>
  <c r="R8" i="3" s="1"/>
  <c r="T8" i="3" s="1"/>
  <c r="C97" i="3"/>
  <c r="D96" i="3"/>
  <c r="Z7" i="3"/>
  <c r="AB7" i="3" s="1"/>
  <c r="C96" i="3"/>
  <c r="E96" i="3" s="1"/>
  <c r="M113" i="3" s="1"/>
  <c r="E60" i="3"/>
  <c r="R7" i="3" s="1"/>
  <c r="D95" i="3"/>
  <c r="Z6" i="3"/>
  <c r="AB6" i="3" s="1"/>
  <c r="C95" i="3"/>
  <c r="E95" i="3" s="1"/>
  <c r="M112" i="3" s="1"/>
  <c r="E59" i="3"/>
  <c r="R6" i="3" s="1"/>
  <c r="T6" i="3" s="1"/>
  <c r="D94" i="3"/>
  <c r="Z5" i="3"/>
  <c r="AB5" i="3" s="1"/>
  <c r="C93" i="3"/>
  <c r="E57" i="3"/>
  <c r="R4" i="3" s="1"/>
  <c r="Y16" i="3"/>
  <c r="E51" i="3"/>
  <c r="Q16" i="3" s="1"/>
  <c r="V16" i="3" s="1"/>
  <c r="V5" i="3"/>
  <c r="Q17" i="3"/>
  <c r="Q18" i="3"/>
  <c r="Q19" i="3"/>
  <c r="Q20" i="3"/>
  <c r="Q21" i="3"/>
  <c r="Q22" i="3"/>
  <c r="Q23" i="3"/>
  <c r="X16" i="3"/>
  <c r="AB16" i="3" s="1"/>
  <c r="D105" i="3"/>
  <c r="E34" i="3"/>
  <c r="P16" i="3" s="1"/>
  <c r="C105" i="3"/>
  <c r="E105" i="3" s="1"/>
  <c r="X15" i="3"/>
  <c r="AB15" i="3" s="1"/>
  <c r="D104" i="3"/>
  <c r="C104" i="3"/>
  <c r="E104" i="3" s="1"/>
  <c r="M121" i="3" s="1"/>
  <c r="E33" i="3"/>
  <c r="P15" i="3" s="1"/>
  <c r="X14" i="3"/>
  <c r="AB14" i="3" s="1"/>
  <c r="D103" i="3"/>
  <c r="W4" i="3"/>
  <c r="AB4" i="3" s="1"/>
  <c r="D93" i="3"/>
  <c r="T4" i="3"/>
  <c r="V15" i="3"/>
  <c r="V13" i="3"/>
  <c r="V12" i="3"/>
  <c r="V11" i="3"/>
  <c r="V10" i="3"/>
  <c r="V8" i="3"/>
  <c r="V6" i="3"/>
  <c r="V4" i="3"/>
  <c r="AA15" i="4" l="1"/>
  <c r="E104" i="4"/>
  <c r="E99" i="4"/>
  <c r="E99" i="3"/>
  <c r="M116" i="3" s="1"/>
  <c r="T9" i="3"/>
  <c r="T14" i="3"/>
  <c r="E97" i="3"/>
  <c r="M114" i="3" s="1"/>
  <c r="T7" i="3"/>
  <c r="E94" i="3"/>
  <c r="M111" i="3" s="1"/>
  <c r="O17" i="3"/>
  <c r="O20" i="3"/>
  <c r="O22" i="3"/>
  <c r="O18" i="3"/>
  <c r="O19" i="3"/>
  <c r="O21" i="3"/>
  <c r="O23" i="3"/>
  <c r="V7" i="3"/>
  <c r="U15" i="4"/>
  <c r="T15" i="4"/>
  <c r="U14" i="4"/>
  <c r="T14" i="4"/>
  <c r="U13" i="4"/>
  <c r="T13" i="4"/>
  <c r="U12" i="4"/>
  <c r="T12" i="4"/>
  <c r="U11" i="4"/>
  <c r="T11" i="4"/>
  <c r="U10" i="4"/>
  <c r="T10" i="4"/>
  <c r="U9" i="4"/>
  <c r="T9" i="4"/>
  <c r="U8" i="4"/>
  <c r="T8" i="4"/>
  <c r="U7" i="4"/>
  <c r="T7" i="4"/>
  <c r="U6" i="4"/>
  <c r="T6" i="4"/>
  <c r="U5" i="4"/>
  <c r="T5" i="4"/>
  <c r="U4" i="4"/>
  <c r="T4" i="4"/>
  <c r="T16" i="3"/>
  <c r="T15" i="3"/>
  <c r="E103" i="3"/>
  <c r="M120" i="3" s="1"/>
  <c r="E93" i="3"/>
  <c r="M110" i="3" s="1"/>
  <c r="T11" i="3"/>
  <c r="R17" i="3"/>
  <c r="R18" i="3"/>
  <c r="R19" i="3"/>
  <c r="R20" i="3"/>
  <c r="R21" i="3"/>
  <c r="R22" i="3"/>
  <c r="R23" i="3"/>
  <c r="T20" i="3" l="1"/>
  <c r="T21" i="3"/>
  <c r="T22" i="3"/>
  <c r="T23" i="3"/>
  <c r="T17" i="3"/>
  <c r="T18" i="3"/>
  <c r="T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Ivan Pascual Vasquez</author>
  </authors>
  <commentList>
    <comment ref="F15" authorId="0" shapeId="0" xr:uid="{C0751F82-4526-BB4E-BE03-5C71104D1D3D}">
      <text>
        <r>
          <rPr>
            <b/>
            <sz val="9"/>
            <color indexed="81"/>
            <rFont val="Tahoma"/>
            <family val="2"/>
          </rPr>
          <t>Oscar Ivan Pascual Vasquez:</t>
        </r>
        <r>
          <rPr>
            <sz val="9"/>
            <color indexed="81"/>
            <rFont val="Tahoma"/>
            <family val="2"/>
          </rPr>
          <t xml:space="preserve">
Ajustar en PII BCRD 67 y 94</t>
        </r>
      </text>
    </comment>
    <comment ref="F17" authorId="0" shapeId="0" xr:uid="{2B68A984-BD95-8D47-B8AE-762BA5453739}">
      <text>
        <r>
          <rPr>
            <b/>
            <sz val="9"/>
            <color indexed="81"/>
            <rFont val="Tahoma"/>
            <family val="2"/>
          </rPr>
          <t>Oscar Ivan Pascual Vasquez:</t>
        </r>
        <r>
          <rPr>
            <sz val="9"/>
            <color indexed="81"/>
            <rFont val="Tahoma"/>
            <family val="2"/>
          </rPr>
          <t xml:space="preserve">
Ajustar en PII BCRD  112</t>
        </r>
      </text>
    </comment>
  </commentList>
</comments>
</file>

<file path=xl/sharedStrings.xml><?xml version="1.0" encoding="utf-8"?>
<sst xmlns="http://schemas.openxmlformats.org/spreadsheetml/2006/main" count="135" uniqueCount="50">
  <si>
    <t>Banco Central</t>
  </si>
  <si>
    <t>OSD</t>
  </si>
  <si>
    <t>OSF</t>
  </si>
  <si>
    <t>Sector Público</t>
  </si>
  <si>
    <t>Sector Privado</t>
  </si>
  <si>
    <t>No Residente</t>
  </si>
  <si>
    <t>Sub-Totales</t>
  </si>
  <si>
    <t>En RD$</t>
  </si>
  <si>
    <t>En US$</t>
  </si>
  <si>
    <t>% del PIB</t>
  </si>
  <si>
    <t>BC-OSD</t>
  </si>
  <si>
    <t>BC-OSF</t>
  </si>
  <si>
    <t>BC-NR</t>
  </si>
  <si>
    <t>OSD-OSF</t>
  </si>
  <si>
    <t>OSD-NR</t>
  </si>
  <si>
    <t>OSF-NR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</si>
  <si>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</si>
  <si>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</si>
  <si>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</si>
  <si>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</si>
  <si>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</si>
  <si>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</si>
  <si>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</si>
  <si>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</si>
  <si>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</si>
  <si>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</si>
  <si>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</si>
  <si>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</si>
  <si>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</si>
  <si>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</si>
  <si>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</si>
  <si>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</si>
  <si>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</si>
  <si>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</si>
  <si>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</si>
  <si>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</si>
  <si>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Posición Neta</t>
  </si>
  <si>
    <t>BC</t>
  </si>
  <si>
    <t>SPub</t>
  </si>
  <si>
    <t>SPriv</t>
  </si>
  <si>
    <t>TOT</t>
  </si>
  <si>
    <t>NR</t>
  </si>
  <si>
    <t>Pasivos</t>
  </si>
  <si>
    <t>MN</t>
  </si>
  <si>
    <t>ME</t>
  </si>
  <si>
    <t>Total</t>
  </si>
  <si>
    <t>Sector Privado No Financiero</t>
  </si>
  <si>
    <t>Total Economía Nacional Agregado</t>
  </si>
  <si>
    <t>No Residentes</t>
  </si>
  <si>
    <t>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</si>
</sst>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_);_(* \(#,##0.0\);_(* &quot;-&quot;??_);_(@_)"/>
    <numFmt numFmtId="165" formatCode="#,##0.0_);[Red]\(#,##0.0\)"/>
    <numFmt numFmtId="166" formatCode="#,##0.0"/>
    <numFmt numFmtId="167" formatCode="0.0%"/>
    <numFmt numFmtId="168" formatCode="0.000000000%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1">
    <xf numFmtId="0" fontId="0" fillId="0" borderId="0" xfId="0"/>
    <xf numFmtId="164" fontId="2" fillId="2" borderId="1" xfId="1" applyNumberFormat="1" applyFont="1" applyFill="1" applyBorder="1"/>
    <xf numFmtId="0" fontId="3" fillId="2" borderId="2" xfId="3" applyFont="1" applyFill="1" applyBorder="1" applyAlignment="1">
      <alignment horizontal="center"/>
    </xf>
    <xf numFmtId="0" fontId="3" fillId="2" borderId="3" xfId="3" applyFont="1" applyFill="1" applyBorder="1" applyAlignment="1">
      <alignment horizontal="center"/>
    </xf>
    <xf numFmtId="43" fontId="3" fillId="2" borderId="3" xfId="3" applyNumberFormat="1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left"/>
    </xf>
    <xf numFmtId="165" fontId="2" fillId="3" borderId="0" xfId="3" applyNumberFormat="1" applyFill="1"/>
    <xf numFmtId="165" fontId="2" fillId="2" borderId="0" xfId="3" applyNumberFormat="1" applyFill="1"/>
    <xf numFmtId="165" fontId="2" fillId="2" borderId="6" xfId="3" applyNumberFormat="1" applyFill="1" applyBorder="1"/>
    <xf numFmtId="164" fontId="3" fillId="2" borderId="7" xfId="1" applyNumberFormat="1" applyFont="1" applyFill="1" applyBorder="1" applyAlignment="1">
      <alignment horizontal="left"/>
    </xf>
    <xf numFmtId="165" fontId="2" fillId="2" borderId="0" xfId="1" applyNumberFormat="1" applyFont="1" applyFill="1" applyBorder="1"/>
    <xf numFmtId="165" fontId="2" fillId="3" borderId="0" xfId="1" applyNumberFormat="1" applyFont="1" applyFill="1" applyBorder="1"/>
    <xf numFmtId="165" fontId="2" fillId="4" borderId="0" xfId="3" applyNumberFormat="1" applyFill="1"/>
    <xf numFmtId="164" fontId="3" fillId="2" borderId="7" xfId="1" applyNumberFormat="1" applyFont="1" applyFill="1" applyBorder="1"/>
    <xf numFmtId="164" fontId="3" fillId="2" borderId="8" xfId="1" applyNumberFormat="1" applyFont="1" applyFill="1" applyBorder="1"/>
    <xf numFmtId="165" fontId="2" fillId="3" borderId="6" xfId="3" applyNumberFormat="1" applyFill="1" applyBorder="1"/>
    <xf numFmtId="164" fontId="3" fillId="2" borderId="2" xfId="1" applyNumberFormat="1" applyFont="1" applyFill="1" applyBorder="1"/>
    <xf numFmtId="165" fontId="4" fillId="2" borderId="2" xfId="1" applyNumberFormat="1" applyFont="1" applyFill="1" applyBorder="1"/>
    <xf numFmtId="165" fontId="2" fillId="2" borderId="3" xfId="1" applyNumberFormat="1" applyFont="1" applyFill="1" applyBorder="1"/>
    <xf numFmtId="165" fontId="5" fillId="2" borderId="3" xfId="1" applyNumberFormat="1" applyFont="1" applyFill="1" applyBorder="1"/>
    <xf numFmtId="165" fontId="4" fillId="2" borderId="3" xfId="1" applyNumberFormat="1" applyFont="1" applyFill="1" applyBorder="1"/>
    <xf numFmtId="165" fontId="2" fillId="2" borderId="4" xfId="1" applyNumberFormat="1" applyFont="1" applyFill="1" applyBorder="1"/>
    <xf numFmtId="164" fontId="2" fillId="2" borderId="0" xfId="1" applyNumberFormat="1" applyFont="1" applyFill="1" applyBorder="1"/>
    <xf numFmtId="0" fontId="2" fillId="0" borderId="0" xfId="3"/>
    <xf numFmtId="165" fontId="2" fillId="0" borderId="0" xfId="3" applyNumberFormat="1"/>
    <xf numFmtId="165" fontId="3" fillId="2" borderId="0" xfId="3" applyNumberFormat="1" applyFont="1" applyFill="1"/>
    <xf numFmtId="0" fontId="2" fillId="2" borderId="0" xfId="3" applyFill="1"/>
    <xf numFmtId="0" fontId="3" fillId="2" borderId="0" xfId="3" applyFont="1" applyFill="1"/>
    <xf numFmtId="0" fontId="3" fillId="2" borderId="0" xfId="3" applyFont="1" applyFill="1" applyAlignment="1">
      <alignment horizontal="center"/>
    </xf>
    <xf numFmtId="165" fontId="6" fillId="2" borderId="9" xfId="3" applyNumberFormat="1" applyFont="1" applyFill="1" applyBorder="1"/>
    <xf numFmtId="165" fontId="3" fillId="2" borderId="4" xfId="1" applyNumberFormat="1" applyFont="1" applyFill="1" applyBorder="1"/>
    <xf numFmtId="10" fontId="6" fillId="2" borderId="4" xfId="2" applyNumberFormat="1" applyFont="1" applyFill="1" applyBorder="1"/>
    <xf numFmtId="166" fontId="3" fillId="2" borderId="10" xfId="3" applyNumberFormat="1" applyFont="1" applyFill="1" applyBorder="1"/>
    <xf numFmtId="10" fontId="5" fillId="2" borderId="0" xfId="2" applyNumberFormat="1" applyFont="1" applyFill="1" applyBorder="1"/>
    <xf numFmtId="166" fontId="6" fillId="2" borderId="0" xfId="3" applyNumberFormat="1" applyFont="1" applyFill="1"/>
    <xf numFmtId="166" fontId="3" fillId="2" borderId="0" xfId="3" applyNumberFormat="1" applyFont="1" applyFill="1"/>
    <xf numFmtId="10" fontId="2" fillId="2" borderId="0" xfId="2" applyNumberFormat="1" applyFont="1" applyFill="1" applyBorder="1"/>
    <xf numFmtId="166" fontId="3" fillId="2" borderId="11" xfId="3" applyNumberFormat="1" applyFont="1" applyFill="1" applyBorder="1"/>
    <xf numFmtId="165" fontId="2" fillId="2" borderId="11" xfId="1" applyNumberFormat="1" applyFont="1" applyFill="1" applyBorder="1"/>
    <xf numFmtId="10" fontId="5" fillId="2" borderId="11" xfId="2" applyNumberFormat="1" applyFont="1" applyFill="1" applyBorder="1"/>
    <xf numFmtId="0" fontId="2" fillId="0" borderId="0" xfId="4"/>
    <xf numFmtId="0" fontId="3" fillId="0" borderId="0" xfId="4" applyFont="1" applyAlignment="1">
      <alignment horizontal="center"/>
    </xf>
    <xf numFmtId="0" fontId="0" fillId="0" borderId="0" xfId="3" applyFont="1"/>
    <xf numFmtId="166" fontId="0" fillId="0" borderId="0" xfId="3" applyNumberFormat="1" applyFont="1"/>
    <xf numFmtId="0" fontId="3" fillId="0" borderId="0" xfId="4" applyFont="1"/>
    <xf numFmtId="10" fontId="2" fillId="0" borderId="0" xfId="5" applyNumberFormat="1" applyFont="1"/>
    <xf numFmtId="167" fontId="0" fillId="0" borderId="0" xfId="5" quotePrefix="1" applyNumberFormat="1" applyFont="1" applyAlignment="1">
      <alignment horizontal="right"/>
    </xf>
    <xf numFmtId="4" fontId="9" fillId="5" borderId="0" xfId="4" applyNumberFormat="1" applyFont="1" applyFill="1" applyAlignment="1">
      <alignment horizontal="right"/>
    </xf>
    <xf numFmtId="167" fontId="0" fillId="0" borderId="0" xfId="5" applyNumberFormat="1" applyFont="1"/>
    <xf numFmtId="167" fontId="2" fillId="0" borderId="0" xfId="4" applyNumberFormat="1"/>
    <xf numFmtId="43" fontId="0" fillId="0" borderId="0" xfId="6" applyFont="1"/>
    <xf numFmtId="10" fontId="0" fillId="0" borderId="0" xfId="5" applyNumberFormat="1" applyFont="1"/>
    <xf numFmtId="166" fontId="2" fillId="0" borderId="0" xfId="3" applyNumberFormat="1"/>
    <xf numFmtId="167" fontId="2" fillId="0" borderId="0" xfId="5" applyNumberFormat="1" applyFont="1"/>
    <xf numFmtId="10" fontId="2" fillId="0" borderId="0" xfId="4" applyNumberFormat="1"/>
    <xf numFmtId="168" fontId="2" fillId="0" borderId="0" xfId="4" applyNumberFormat="1"/>
    <xf numFmtId="43" fontId="2" fillId="0" borderId="0" xfId="6" applyFont="1"/>
    <xf numFmtId="0" fontId="0" fillId="0" borderId="0" xfId="3" applyFont="1" applyAlignment="1">
      <alignment horizontal="center"/>
    </xf>
    <xf numFmtId="0" fontId="2" fillId="0" borderId="0" xfId="3" applyAlignment="1">
      <alignment horizontal="center"/>
    </xf>
    <xf numFmtId="0" fontId="3" fillId="0" borderId="0" xfId="4" applyFont="1" applyAlignment="1">
      <alignment horizontal="center"/>
    </xf>
  </cellXfs>
  <cellStyles count="7">
    <cellStyle name="Comma" xfId="1" builtinId="3"/>
    <cellStyle name="Comma 2" xfId="6" xr:uid="{2E1DDB39-D846-E14D-A919-54E1BB2A1F9C}"/>
    <cellStyle name="Normal" xfId="0" builtinId="0"/>
    <cellStyle name="Normal 2" xfId="4" xr:uid="{5B049AE7-C77B-1E48-AC43-4C55A950BAC5}"/>
    <cellStyle name="Normal_1Bolivia Sociedades Financieras" xfId="3" xr:uid="{EAC5B5C6-9183-2749-8991-58E2DFA6BEF6}"/>
    <cellStyle name="Percent" xfId="2" builtinId="5"/>
    <cellStyle name="Percent 2" xfId="5" xr:uid="{9C94926F-784E-794A-BA57-615D95DEDE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'Posición Sectorial a PIB'!$C$3</c:f>
              <c:strCache>
                <c:ptCount val="1"/>
                <c:pt idx="0">
                  <c:v>MN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'Posición Sectorial a PIB'!$B$4:$B$15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PIB'!$C$4:$C$15</c:f>
              <c:numCache>
                <c:formatCode>0.00%</c:formatCode>
                <c:ptCount val="12"/>
                <c:pt idx="0">
                  <c:v>5.5014696369083942E-3</c:v>
                </c:pt>
                <c:pt idx="1">
                  <c:v>-9.1104807929917406E-3</c:v>
                </c:pt>
                <c:pt idx="2">
                  <c:v>-2.1357574003365326E-2</c:v>
                </c:pt>
                <c:pt idx="3">
                  <c:v>-1.2137694131699185E-2</c:v>
                </c:pt>
                <c:pt idx="4">
                  <c:v>-1.595499291653156E-2</c:v>
                </c:pt>
                <c:pt idx="5">
                  <c:v>-1.1470013895691598E-2</c:v>
                </c:pt>
                <c:pt idx="6">
                  <c:v>-1.9468597239580113E-2</c:v>
                </c:pt>
                <c:pt idx="7">
                  <c:v>-1.0758667831282844E-2</c:v>
                </c:pt>
                <c:pt idx="8">
                  <c:v>-2.1095683597621005E-2</c:v>
                </c:pt>
                <c:pt idx="9">
                  <c:v>-2.9233780573684674E-2</c:v>
                </c:pt>
                <c:pt idx="10">
                  <c:v>-2.9820149511616784E-2</c:v>
                </c:pt>
                <c:pt idx="11">
                  <c:v>-2.9549054462246496E-2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6-7E4D-8002-038716E10AEF}"/>
            </c:ext>
          </c:extLst>
        </c:ser>
        <c:ser>
          <c:idx val="1"/>
          <c:order val="1"/>
          <c:tx>
            <c:strRef>
              <c:f>'Posición Sectorial a PIB'!$D$3</c:f>
              <c:strCache>
                <c:ptCount val="1"/>
                <c:pt idx="0">
                  <c:v>ME</c:v>
                </c:pt>
              </c:strCache>
            </c:strRef>
          </c:tx>
          <c:invertIfNegative val="0"/>
          <c:cat>
            <c:numRef>
              <c:f>'Posición Sectorial a PIB'!$B$4:$B$15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PIB'!$D$4:$D$15</c:f>
              <c:numCache>
                <c:formatCode>0.00%</c:formatCode>
                <c:ptCount val="12"/>
                <c:pt idx="0">
                  <c:v>9.4884110192725475E-3</c:v>
                </c:pt>
                <c:pt idx="1">
                  <c:v>2.1420980065519655E-2</c:v>
                </c:pt>
                <c:pt idx="2">
                  <c:v>3.5808793903178107E-2</c:v>
                </c:pt>
                <c:pt idx="3">
                  <c:v>2.9914773414143718E-2</c:v>
                </c:pt>
                <c:pt idx="4">
                  <c:v>3.3594516340879163E-2</c:v>
                </c:pt>
                <c:pt idx="5">
                  <c:v>3.1383275889759435E-2</c:v>
                </c:pt>
                <c:pt idx="6">
                  <c:v>3.3439770064560247E-2</c:v>
                </c:pt>
                <c:pt idx="7">
                  <c:v>2.7139511940224709E-2</c:v>
                </c:pt>
                <c:pt idx="8">
                  <c:v>3.6121534095072488E-2</c:v>
                </c:pt>
                <c:pt idx="9">
                  <c:v>4.2943269769195588E-2</c:v>
                </c:pt>
                <c:pt idx="10">
                  <c:v>4.4529231002719855E-2</c:v>
                </c:pt>
                <c:pt idx="11">
                  <c:v>4.4022287049390603E-2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6-7E4D-8002-038716E10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70941440"/>
        <c:axId val="171497664"/>
      </c:barChart>
      <c:lineChart>
        <c:grouping val="standard"/>
        <c:varyColors val="0"/>
        <c:ser>
          <c:idx val="2"/>
          <c:order val="2"/>
          <c:tx>
            <c:strRef>
              <c:f>'Posición Sectorial a PIB'!$E$3</c:f>
              <c:strCache>
                <c:ptCount val="1"/>
                <c:pt idx="0">
                  <c:v>Total</c:v>
                </c:pt>
              </c:strCache>
            </c:strRef>
          </c:tx>
          <c:spPr>
            <a:ln w="60325">
              <a:noFill/>
            </a:ln>
          </c:spPr>
          <c:marker>
            <c:symbol val="circle"/>
            <c:size val="9"/>
            <c:spPr>
              <a:ln>
                <a:solidFill>
                  <a:schemeClr val="tx2"/>
                </a:solidFill>
              </a:ln>
            </c:spPr>
          </c:marker>
          <c:cat>
            <c:numRef>
              <c:f>'Posición Sectorial a PIB'!$B$4:$B$15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PIB'!$E$4:$E$15</c:f>
              <c:numCache>
                <c:formatCode>0.00%</c:formatCode>
                <c:ptCount val="12"/>
                <c:pt idx="0">
                  <c:v>1.4989880656180942E-2</c:v>
                </c:pt>
                <c:pt idx="1">
                  <c:v>1.2310499272527914E-2</c:v>
                </c:pt>
                <c:pt idx="2">
                  <c:v>1.4451219899812781E-2</c:v>
                </c:pt>
                <c:pt idx="3">
                  <c:v>1.7777079282444534E-2</c:v>
                </c:pt>
                <c:pt idx="4">
                  <c:v>1.7639523424347603E-2</c:v>
                </c:pt>
                <c:pt idx="5">
                  <c:v>1.9913261994067837E-2</c:v>
                </c:pt>
                <c:pt idx="6">
                  <c:v>1.3971172824980133E-2</c:v>
                </c:pt>
                <c:pt idx="7">
                  <c:v>1.6380844108941865E-2</c:v>
                </c:pt>
                <c:pt idx="8">
                  <c:v>1.5025850497451483E-2</c:v>
                </c:pt>
                <c:pt idx="9">
                  <c:v>1.3709489195510915E-2</c:v>
                </c:pt>
                <c:pt idx="10">
                  <c:v>1.470908149110307E-2</c:v>
                </c:pt>
                <c:pt idx="11">
                  <c:v>1.4473232587144107E-2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96-7E4D-8002-038716E10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941440"/>
        <c:axId val="171497664"/>
      </c:lineChart>
      <c:catAx>
        <c:axId val="17094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71497664"/>
        <c:crosses val="autoZero"/>
        <c:auto val="1"/>
        <c:lblAlgn val="ctr"/>
        <c:lblOffset val="100"/>
        <c:noMultiLvlLbl val="0"/>
      </c:catAx>
      <c:valAx>
        <c:axId val="17149766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DO"/>
          </a:p>
        </c:txPr>
        <c:crossAx val="17094144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'Posición Sectorial a PIB'!$C$3</c:f>
              <c:strCache>
                <c:ptCount val="1"/>
                <c:pt idx="0">
                  <c:v>MN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'Posición Sectorial a PIB'!$B$22:$B$33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PIB'!$C$22:$C$33</c:f>
              <c:numCache>
                <c:formatCode>0.00%</c:formatCode>
                <c:ptCount val="12"/>
                <c:pt idx="0">
                  <c:v>-9.3655421401860992E-2</c:v>
                </c:pt>
                <c:pt idx="1">
                  <c:v>-0.16753904099210648</c:v>
                </c:pt>
                <c:pt idx="2">
                  <c:v>-0.16636812327226622</c:v>
                </c:pt>
                <c:pt idx="3">
                  <c:v>-0.17854426166389858</c:v>
                </c:pt>
                <c:pt idx="4">
                  <c:v>-0.17645611167724976</c:v>
                </c:pt>
                <c:pt idx="5">
                  <c:v>-0.16576229328454475</c:v>
                </c:pt>
                <c:pt idx="6">
                  <c:v>-0.15080358920535403</c:v>
                </c:pt>
                <c:pt idx="7">
                  <c:v>-0.17197447572869035</c:v>
                </c:pt>
                <c:pt idx="8">
                  <c:v>-0.1705562222440099</c:v>
                </c:pt>
                <c:pt idx="9">
                  <c:v>-0.17117748089917939</c:v>
                </c:pt>
                <c:pt idx="10">
                  <c:v>-0.18884229175392203</c:v>
                </c:pt>
                <c:pt idx="11">
                  <c:v>-0.20251574138816542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E-304C-9D2C-C85749D38692}"/>
            </c:ext>
          </c:extLst>
        </c:ser>
        <c:ser>
          <c:idx val="1"/>
          <c:order val="1"/>
          <c:tx>
            <c:strRef>
              <c:f>'Posición Sectorial a PIB'!$D$3</c:f>
              <c:strCache>
                <c:ptCount val="1"/>
                <c:pt idx="0">
                  <c:v>ME</c:v>
                </c:pt>
              </c:strCache>
            </c:strRef>
          </c:tx>
          <c:invertIfNegative val="0"/>
          <c:cat>
            <c:numRef>
              <c:f>'Posición Sectorial a PIB'!$B$22:$B$33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PIB'!$D$22:$D$33</c:f>
              <c:numCache>
                <c:formatCode>0.00%</c:formatCode>
                <c:ptCount val="12"/>
                <c:pt idx="0">
                  <c:v>-0.18810657945058415</c:v>
                </c:pt>
                <c:pt idx="1">
                  <c:v>-0.17832850995619309</c:v>
                </c:pt>
                <c:pt idx="2">
                  <c:v>-0.157923576126315</c:v>
                </c:pt>
                <c:pt idx="3">
                  <c:v>-0.15728529516565681</c:v>
                </c:pt>
                <c:pt idx="4">
                  <c:v>-0.18513842257135854</c:v>
                </c:pt>
                <c:pt idx="5">
                  <c:v>-0.19499989493296851</c:v>
                </c:pt>
                <c:pt idx="6">
                  <c:v>-0.21689835158594079</c:v>
                </c:pt>
                <c:pt idx="7">
                  <c:v>-0.24632666054273319</c:v>
                </c:pt>
                <c:pt idx="8">
                  <c:v>-0.26911086387201039</c:v>
                </c:pt>
                <c:pt idx="9">
                  <c:v>-0.26546249945249045</c:v>
                </c:pt>
                <c:pt idx="10">
                  <c:v>-0.25100655381969</c:v>
                </c:pt>
                <c:pt idx="11">
                  <c:v>-0.25644505324832945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E-304C-9D2C-C85749D38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88551168"/>
        <c:axId val="188703296"/>
      </c:barChart>
      <c:lineChart>
        <c:grouping val="standard"/>
        <c:varyColors val="0"/>
        <c:ser>
          <c:idx val="2"/>
          <c:order val="2"/>
          <c:tx>
            <c:strRef>
              <c:f>'Posición Sectorial a PIB'!$E$3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9"/>
            <c:spPr>
              <a:ln>
                <a:solidFill>
                  <a:schemeClr val="tx2"/>
                </a:solidFill>
              </a:ln>
            </c:spPr>
          </c:marker>
          <c:cat>
            <c:numRef>
              <c:f>'Posición Sectorial a PIB'!$B$22:$B$33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PIB'!$E$22:$E$33</c:f>
              <c:numCache>
                <c:formatCode>0.00%</c:formatCode>
                <c:ptCount val="12"/>
                <c:pt idx="0">
                  <c:v>-0.28176200085244513</c:v>
                </c:pt>
                <c:pt idx="1">
                  <c:v>-0.34586755094829957</c:v>
                </c:pt>
                <c:pt idx="2">
                  <c:v>-0.32429169939858121</c:v>
                </c:pt>
                <c:pt idx="3">
                  <c:v>-0.3358295568295554</c:v>
                </c:pt>
                <c:pt idx="4">
                  <c:v>-0.36159453424860832</c:v>
                </c:pt>
                <c:pt idx="5">
                  <c:v>-0.36076218821751327</c:v>
                </c:pt>
                <c:pt idx="6">
                  <c:v>-0.36770194079129481</c:v>
                </c:pt>
                <c:pt idx="7">
                  <c:v>-0.41830113627142351</c:v>
                </c:pt>
                <c:pt idx="8">
                  <c:v>-0.43966708611602029</c:v>
                </c:pt>
                <c:pt idx="9">
                  <c:v>-0.43663998035166984</c:v>
                </c:pt>
                <c:pt idx="10">
                  <c:v>-0.43984884557361204</c:v>
                </c:pt>
                <c:pt idx="11">
                  <c:v>-0.45896079463649486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4E-304C-9D2C-C85749D38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51168"/>
        <c:axId val="188703296"/>
      </c:lineChart>
      <c:catAx>
        <c:axId val="18855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88703296"/>
        <c:crosses val="autoZero"/>
        <c:auto val="1"/>
        <c:lblAlgn val="ctr"/>
        <c:lblOffset val="100"/>
        <c:noMultiLvlLbl val="0"/>
      </c:catAx>
      <c:valAx>
        <c:axId val="1887032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DO"/>
          </a:p>
        </c:txPr>
        <c:crossAx val="18855116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'Posición Sectorial a PIB'!$C$3</c:f>
              <c:strCache>
                <c:ptCount val="1"/>
                <c:pt idx="0">
                  <c:v>MN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'Posición Sectorial a PIB'!$B$39:$B$50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PIB'!$C$39:$C$50</c:f>
              <c:numCache>
                <c:formatCode>0.00%</c:formatCode>
                <c:ptCount val="12"/>
                <c:pt idx="0">
                  <c:v>-8.9482939786588181E-2</c:v>
                </c:pt>
                <c:pt idx="1">
                  <c:v>-2.9100653990188413E-3</c:v>
                </c:pt>
                <c:pt idx="2">
                  <c:v>4.9177899626157004E-3</c:v>
                </c:pt>
                <c:pt idx="3">
                  <c:v>9.0176022303376548E-3</c:v>
                </c:pt>
                <c:pt idx="4">
                  <c:v>1.1315516838577063E-2</c:v>
                </c:pt>
                <c:pt idx="5">
                  <c:v>2.9114037832101133E-2</c:v>
                </c:pt>
                <c:pt idx="6">
                  <c:v>3.0856170841243102E-2</c:v>
                </c:pt>
                <c:pt idx="7">
                  <c:v>2.8645390684485364E-2</c:v>
                </c:pt>
                <c:pt idx="8">
                  <c:v>2.4647723545422853E-2</c:v>
                </c:pt>
                <c:pt idx="9">
                  <c:v>2.815832698648504E-2</c:v>
                </c:pt>
                <c:pt idx="10">
                  <c:v>2.8943527363316426E-2</c:v>
                </c:pt>
                <c:pt idx="11">
                  <c:v>3.0775157441852816E-2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E-3048-A993-02428CC85558}"/>
            </c:ext>
          </c:extLst>
        </c:ser>
        <c:ser>
          <c:idx val="1"/>
          <c:order val="1"/>
          <c:tx>
            <c:strRef>
              <c:f>'Posición Sectorial a PIB'!$D$3</c:f>
              <c:strCache>
                <c:ptCount val="1"/>
                <c:pt idx="0">
                  <c:v>ME</c:v>
                </c:pt>
              </c:strCache>
            </c:strRef>
          </c:tx>
          <c:invertIfNegative val="0"/>
          <c:cat>
            <c:numRef>
              <c:f>'Posición Sectorial a PIB'!$B$39:$B$50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PIB'!$D$39:$D$50</c:f>
              <c:numCache>
                <c:formatCode>0.00%</c:formatCode>
                <c:ptCount val="12"/>
                <c:pt idx="0">
                  <c:v>1.9303973250957833E-2</c:v>
                </c:pt>
                <c:pt idx="1">
                  <c:v>8.3044343850010895E-3</c:v>
                </c:pt>
                <c:pt idx="2">
                  <c:v>1.0440550858683312E-2</c:v>
                </c:pt>
                <c:pt idx="3">
                  <c:v>7.7984995589629701E-3</c:v>
                </c:pt>
                <c:pt idx="4">
                  <c:v>7.8044572744980119E-3</c:v>
                </c:pt>
                <c:pt idx="5">
                  <c:v>-4.7545097449834591E-3</c:v>
                </c:pt>
                <c:pt idx="6">
                  <c:v>-1.0782443899088912E-2</c:v>
                </c:pt>
                <c:pt idx="7">
                  <c:v>-5.4378145894750912E-3</c:v>
                </c:pt>
                <c:pt idx="8">
                  <c:v>1.6327431722648403E-3</c:v>
                </c:pt>
                <c:pt idx="9">
                  <c:v>-2.1318190275498618E-3</c:v>
                </c:pt>
                <c:pt idx="10">
                  <c:v>-1.8059962658863796E-3</c:v>
                </c:pt>
                <c:pt idx="11">
                  <c:v>-1.9972501757666832E-3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9E-3048-A993-02428CC85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88552704"/>
        <c:axId val="188705600"/>
      </c:barChart>
      <c:lineChart>
        <c:grouping val="standard"/>
        <c:varyColors val="0"/>
        <c:ser>
          <c:idx val="2"/>
          <c:order val="2"/>
          <c:tx>
            <c:strRef>
              <c:f>'Posición Sectorial a PIB'!$E$3</c:f>
              <c:strCache>
                <c:ptCount val="1"/>
                <c:pt idx="0">
                  <c:v>Total</c:v>
                </c:pt>
              </c:strCache>
            </c:strRef>
          </c:tx>
          <c:spPr>
            <a:ln w="60325">
              <a:noFill/>
            </a:ln>
          </c:spPr>
          <c:marker>
            <c:symbol val="circle"/>
            <c:size val="9"/>
            <c:spPr>
              <a:ln>
                <a:solidFill>
                  <a:schemeClr val="tx2"/>
                </a:solidFill>
              </a:ln>
            </c:spPr>
          </c:marker>
          <c:cat>
            <c:numRef>
              <c:f>'Posición Sectorial a PIB'!$B$39:$B$50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PIB'!$E$39:$E$50</c:f>
              <c:numCache>
                <c:formatCode>0.00%</c:formatCode>
                <c:ptCount val="12"/>
                <c:pt idx="0">
                  <c:v>-7.0178966535630355E-2</c:v>
                </c:pt>
                <c:pt idx="1">
                  <c:v>5.3943689859822482E-3</c:v>
                </c:pt>
                <c:pt idx="2">
                  <c:v>1.5358340821299013E-2</c:v>
                </c:pt>
                <c:pt idx="3">
                  <c:v>1.6816101789300625E-2</c:v>
                </c:pt>
                <c:pt idx="4">
                  <c:v>1.9119974113075075E-2</c:v>
                </c:pt>
                <c:pt idx="5">
                  <c:v>2.4359528087117673E-2</c:v>
                </c:pt>
                <c:pt idx="6">
                  <c:v>2.0073726942154188E-2</c:v>
                </c:pt>
                <c:pt idx="7">
                  <c:v>2.3207576095010271E-2</c:v>
                </c:pt>
                <c:pt idx="8">
                  <c:v>2.6280466717687693E-2</c:v>
                </c:pt>
                <c:pt idx="9">
                  <c:v>2.6026507958935179E-2</c:v>
                </c:pt>
                <c:pt idx="10">
                  <c:v>2.7137531097430046E-2</c:v>
                </c:pt>
                <c:pt idx="11">
                  <c:v>2.8777907266086131E-2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9E-3048-A993-02428CC85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52704"/>
        <c:axId val="188705600"/>
      </c:lineChart>
      <c:catAx>
        <c:axId val="18855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88705600"/>
        <c:crosses val="autoZero"/>
        <c:auto val="1"/>
        <c:lblAlgn val="ctr"/>
        <c:lblOffset val="100"/>
        <c:noMultiLvlLbl val="0"/>
      </c:catAx>
      <c:valAx>
        <c:axId val="1887056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DO"/>
          </a:p>
        </c:txPr>
        <c:crossAx val="18855270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'Posición Sectorial a PIB'!$C$3</c:f>
              <c:strCache>
                <c:ptCount val="1"/>
                <c:pt idx="0">
                  <c:v>MN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'Posición Sectorial a PIB'!$B$57:$B$68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PIB'!$C$57:$C$68</c:f>
              <c:numCache>
                <c:formatCode>0.00%</c:formatCode>
                <c:ptCount val="12"/>
                <c:pt idx="0">
                  <c:v>-1.6799016048277382E-2</c:v>
                </c:pt>
                <c:pt idx="1">
                  <c:v>-9.8753295502437971E-3</c:v>
                </c:pt>
                <c:pt idx="2">
                  <c:v>-5.3560749469643461E-3</c:v>
                </c:pt>
                <c:pt idx="3">
                  <c:v>-8.8264988413309653E-3</c:v>
                </c:pt>
                <c:pt idx="4">
                  <c:v>-6.9068778260383268E-3</c:v>
                </c:pt>
                <c:pt idx="5">
                  <c:v>-1.5204948467324453E-3</c:v>
                </c:pt>
                <c:pt idx="6">
                  <c:v>-4.629472633213845E-3</c:v>
                </c:pt>
                <c:pt idx="7">
                  <c:v>-7.213106403820768E-3</c:v>
                </c:pt>
                <c:pt idx="8">
                  <c:v>-9.4912835331507428E-4</c:v>
                </c:pt>
                <c:pt idx="9">
                  <c:v>-1.1915964681885063E-3</c:v>
                </c:pt>
                <c:pt idx="10">
                  <c:v>6.0461758204927423E-4</c:v>
                </c:pt>
                <c:pt idx="11">
                  <c:v>1.9354544722109026E-3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C-3244-84C1-C75BFD9B7EBC}"/>
            </c:ext>
          </c:extLst>
        </c:ser>
        <c:ser>
          <c:idx val="1"/>
          <c:order val="1"/>
          <c:tx>
            <c:strRef>
              <c:f>'Posición Sectorial a PIB'!$D$3</c:f>
              <c:strCache>
                <c:ptCount val="1"/>
                <c:pt idx="0">
                  <c:v>ME</c:v>
                </c:pt>
              </c:strCache>
            </c:strRef>
          </c:tx>
          <c:invertIfNegative val="0"/>
          <c:cat>
            <c:numRef>
              <c:f>'Posición Sectorial a PIB'!$B$57:$B$68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PIB'!$D$57:$D$68</c:f>
              <c:numCache>
                <c:formatCode>0.00%</c:formatCode>
                <c:ptCount val="12"/>
                <c:pt idx="0">
                  <c:v>7.700321565945466E-4</c:v>
                </c:pt>
                <c:pt idx="1">
                  <c:v>1.2012040432791678E-3</c:v>
                </c:pt>
                <c:pt idx="2">
                  <c:v>1.1690838535978851E-3</c:v>
                </c:pt>
                <c:pt idx="3">
                  <c:v>8.95010038868702E-4</c:v>
                </c:pt>
                <c:pt idx="4">
                  <c:v>1.1087293338487214E-3</c:v>
                </c:pt>
                <c:pt idx="5">
                  <c:v>9.3191154516219447E-4</c:v>
                </c:pt>
                <c:pt idx="6">
                  <c:v>1.1868651387679492E-3</c:v>
                </c:pt>
                <c:pt idx="7">
                  <c:v>9.2008054261014821E-4</c:v>
                </c:pt>
                <c:pt idx="8">
                  <c:v>1.0019791864822076E-3</c:v>
                </c:pt>
                <c:pt idx="9">
                  <c:v>8.1372765121430469E-4</c:v>
                </c:pt>
                <c:pt idx="10">
                  <c:v>2.8399106555258469E-3</c:v>
                </c:pt>
                <c:pt idx="11">
                  <c:v>1.830035963297887E-3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C-3244-84C1-C75BFD9B7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88554240"/>
        <c:axId val="188707904"/>
      </c:barChart>
      <c:lineChart>
        <c:grouping val="standard"/>
        <c:varyColors val="0"/>
        <c:ser>
          <c:idx val="2"/>
          <c:order val="2"/>
          <c:tx>
            <c:strRef>
              <c:f>'Posición Sectorial a PIB'!$E$3</c:f>
              <c:strCache>
                <c:ptCount val="1"/>
                <c:pt idx="0">
                  <c:v>Total</c:v>
                </c:pt>
              </c:strCache>
            </c:strRef>
          </c:tx>
          <c:spPr>
            <a:ln w="60325">
              <a:noFill/>
            </a:ln>
          </c:spPr>
          <c:marker>
            <c:symbol val="circle"/>
            <c:size val="9"/>
            <c:spPr>
              <a:ln>
                <a:solidFill>
                  <a:schemeClr val="tx2"/>
                </a:solidFill>
              </a:ln>
            </c:spPr>
          </c:marker>
          <c:cat>
            <c:numRef>
              <c:f>'Posición Sectorial a PIB'!$B$57:$B$68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PIB'!$E$57:$E$68</c:f>
              <c:numCache>
                <c:formatCode>0.00%</c:formatCode>
                <c:ptCount val="12"/>
                <c:pt idx="0">
                  <c:v>-1.6028983891682835E-2</c:v>
                </c:pt>
                <c:pt idx="1">
                  <c:v>-8.6741255069646295E-3</c:v>
                </c:pt>
                <c:pt idx="2">
                  <c:v>-4.1869910933664614E-3</c:v>
                </c:pt>
                <c:pt idx="3">
                  <c:v>-7.9314888024622637E-3</c:v>
                </c:pt>
                <c:pt idx="4">
                  <c:v>-5.7981484921896054E-3</c:v>
                </c:pt>
                <c:pt idx="5">
                  <c:v>-5.8858330157025081E-4</c:v>
                </c:pt>
                <c:pt idx="6">
                  <c:v>-3.442607494445896E-3</c:v>
                </c:pt>
                <c:pt idx="7">
                  <c:v>-6.29302586121062E-3</c:v>
                </c:pt>
                <c:pt idx="8">
                  <c:v>5.2850833167133278E-5</c:v>
                </c:pt>
                <c:pt idx="9">
                  <c:v>-3.7786881697420157E-4</c:v>
                </c:pt>
                <c:pt idx="10">
                  <c:v>3.4445282375751211E-3</c:v>
                </c:pt>
                <c:pt idx="11">
                  <c:v>3.7654904355087894E-3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5C-3244-84C1-C75BFD9B7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54240"/>
        <c:axId val="188707904"/>
      </c:lineChart>
      <c:catAx>
        <c:axId val="18855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88707904"/>
        <c:crosses val="autoZero"/>
        <c:auto val="1"/>
        <c:lblAlgn val="ctr"/>
        <c:lblOffset val="100"/>
        <c:noMultiLvlLbl val="0"/>
      </c:catAx>
      <c:valAx>
        <c:axId val="18870790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DO"/>
          </a:p>
        </c:txPr>
        <c:crossAx val="18855424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'Posición Sectorial a PIB'!$C$3</c:f>
              <c:strCache>
                <c:ptCount val="1"/>
                <c:pt idx="0">
                  <c:v>MN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'Posición Sectorial a PIB'!$B$74:$B$85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PIB'!$C$74:$C$85</c:f>
              <c:numCache>
                <c:formatCode>0.0%</c:formatCode>
                <c:ptCount val="12"/>
                <c:pt idx="0">
                  <c:v>0.18952130792846156</c:v>
                </c:pt>
                <c:pt idx="1">
                  <c:v>0.18221961140325266</c:v>
                </c:pt>
                <c:pt idx="2">
                  <c:v>0.17677969189195086</c:v>
                </c:pt>
                <c:pt idx="3">
                  <c:v>0.18770024518467374</c:v>
                </c:pt>
                <c:pt idx="4">
                  <c:v>0.18533145668757381</c:v>
                </c:pt>
                <c:pt idx="5">
                  <c:v>0.14826723328739738</c:v>
                </c:pt>
                <c:pt idx="6">
                  <c:v>0.14135815830776821</c:v>
                </c:pt>
                <c:pt idx="7">
                  <c:v>0.16011784844154067</c:v>
                </c:pt>
                <c:pt idx="8">
                  <c:v>0.16675880098777834</c:v>
                </c:pt>
                <c:pt idx="9">
                  <c:v>0.17392249434619431</c:v>
                </c:pt>
                <c:pt idx="10">
                  <c:v>0.1905970171046244</c:v>
                </c:pt>
                <c:pt idx="11">
                  <c:v>0.20436961609966595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F-9040-9888-FB2C4B58CF0B}"/>
            </c:ext>
          </c:extLst>
        </c:ser>
        <c:ser>
          <c:idx val="1"/>
          <c:order val="1"/>
          <c:tx>
            <c:strRef>
              <c:f>'Posición Sectorial a PIB'!$D$3</c:f>
              <c:strCache>
                <c:ptCount val="1"/>
                <c:pt idx="0">
                  <c:v>ME</c:v>
                </c:pt>
              </c:strCache>
            </c:strRef>
          </c:tx>
          <c:invertIfNegative val="0"/>
          <c:cat>
            <c:numRef>
              <c:f>'Posición Sectorial a PIB'!$B$74:$B$85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PIB'!$D$74:$D$85</c:f>
              <c:numCache>
                <c:formatCode>0.0%</c:formatCode>
                <c:ptCount val="12"/>
                <c:pt idx="0">
                  <c:v>8.3649960639067503E-2</c:v>
                </c:pt>
                <c:pt idx="1">
                  <c:v>9.3946724029952855E-2</c:v>
                </c:pt>
                <c:pt idx="2">
                  <c:v>8.3037147540542242E-2</c:v>
                </c:pt>
                <c:pt idx="3">
                  <c:v>7.1572485020817686E-2</c:v>
                </c:pt>
                <c:pt idx="4">
                  <c:v>7.7879298903230393E-2</c:v>
                </c:pt>
                <c:pt idx="5">
                  <c:v>5.833451429341413E-2</c:v>
                </c:pt>
                <c:pt idx="6">
                  <c:v>6.3213136136037407E-2</c:v>
                </c:pt>
                <c:pt idx="7">
                  <c:v>7.1230420599598249E-2</c:v>
                </c:pt>
                <c:pt idx="8">
                  <c:v>6.9099749718244646E-2</c:v>
                </c:pt>
                <c:pt idx="9">
                  <c:v>6.2799303837698689E-2</c:v>
                </c:pt>
                <c:pt idx="10">
                  <c:v>6.449581221168102E-2</c:v>
                </c:pt>
                <c:pt idx="11">
                  <c:v>7.0014976808165874E-2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DF-9040-9888-FB2C4B58C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89321216"/>
        <c:axId val="188710208"/>
      </c:barChart>
      <c:lineChart>
        <c:grouping val="standard"/>
        <c:varyColors val="0"/>
        <c:ser>
          <c:idx val="2"/>
          <c:order val="2"/>
          <c:tx>
            <c:strRef>
              <c:f>'Posición Sectorial a PIB'!$E$3</c:f>
              <c:strCache>
                <c:ptCount val="1"/>
                <c:pt idx="0">
                  <c:v>Total</c:v>
                </c:pt>
              </c:strCache>
            </c:strRef>
          </c:tx>
          <c:spPr>
            <a:ln w="60325">
              <a:noFill/>
            </a:ln>
          </c:spPr>
          <c:marker>
            <c:symbol val="circle"/>
            <c:size val="9"/>
            <c:spPr>
              <a:ln>
                <a:solidFill>
                  <a:schemeClr val="tx2"/>
                </a:solidFill>
              </a:ln>
            </c:spPr>
          </c:marker>
          <c:cat>
            <c:numRef>
              <c:f>'Posición Sectorial a PIB'!$B$74:$B$85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PIB'!$E$74:$E$85</c:f>
              <c:numCache>
                <c:formatCode>0.0%</c:formatCode>
                <c:ptCount val="12"/>
                <c:pt idx="0">
                  <c:v>0.27317126856752905</c:v>
                </c:pt>
                <c:pt idx="1">
                  <c:v>0.27616633543320551</c:v>
                </c:pt>
                <c:pt idx="2">
                  <c:v>0.25981683943249312</c:v>
                </c:pt>
                <c:pt idx="3">
                  <c:v>0.25927273020549141</c:v>
                </c:pt>
                <c:pt idx="4">
                  <c:v>0.2632107555908042</c:v>
                </c:pt>
                <c:pt idx="5">
                  <c:v>0.20660174758081151</c:v>
                </c:pt>
                <c:pt idx="6">
                  <c:v>0.20457129444380562</c:v>
                </c:pt>
                <c:pt idx="7">
                  <c:v>0.23134826904113892</c:v>
                </c:pt>
                <c:pt idx="8">
                  <c:v>0.23585855070602299</c:v>
                </c:pt>
                <c:pt idx="9">
                  <c:v>0.236721798183893</c:v>
                </c:pt>
                <c:pt idx="10">
                  <c:v>0.25509282931630539</c:v>
                </c:pt>
                <c:pt idx="11">
                  <c:v>0.27438459290783179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DF-9040-9888-FB2C4B58C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321216"/>
        <c:axId val="188710208"/>
      </c:lineChart>
      <c:catAx>
        <c:axId val="18932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88710208"/>
        <c:crosses val="autoZero"/>
        <c:auto val="1"/>
        <c:lblAlgn val="ctr"/>
        <c:lblOffset val="100"/>
        <c:noMultiLvlLbl val="0"/>
      </c:catAx>
      <c:valAx>
        <c:axId val="188710208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DO"/>
          </a:p>
        </c:txPr>
        <c:crossAx val="1893212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'Posición Sectorial a PIB'!$C$3</c:f>
              <c:strCache>
                <c:ptCount val="1"/>
                <c:pt idx="0">
                  <c:v>MN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'Posición Sectorial a PIB'!$B$93:$B$104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PIB'!$C$93:$C$104</c:f>
              <c:numCache>
                <c:formatCode>0.0%</c:formatCode>
                <c:ptCount val="12"/>
                <c:pt idx="0">
                  <c:v>-4.9145996713566009E-3</c:v>
                </c:pt>
                <c:pt idx="1">
                  <c:v>-7.2153053311082016E-3</c:v>
                </c:pt>
                <c:pt idx="2">
                  <c:v>-1.1384290368029348E-2</c:v>
                </c:pt>
                <c:pt idx="3">
                  <c:v>-2.7906072219173461E-3</c:v>
                </c:pt>
                <c:pt idx="4">
                  <c:v>-2.6710088936687526E-3</c:v>
                </c:pt>
                <c:pt idx="5">
                  <c:v>-1.3715309074702753E-3</c:v>
                </c:pt>
                <c:pt idx="6">
                  <c:v>-2.6873299291366726E-3</c:v>
                </c:pt>
                <c:pt idx="7">
                  <c:v>-1.1830108377679227E-3</c:v>
                </c:pt>
                <c:pt idx="8">
                  <c:v>-1.1945096617447803E-3</c:v>
                </c:pt>
                <c:pt idx="9">
                  <c:v>4.7796339162678447E-4</c:v>
                </c:pt>
                <c:pt idx="10">
                  <c:v>1.4827207844512746E-3</c:v>
                </c:pt>
                <c:pt idx="11">
                  <c:v>5.0154321633177901E-3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D-4D48-A350-566A7CA728CE}"/>
            </c:ext>
          </c:extLst>
        </c:ser>
        <c:ser>
          <c:idx val="1"/>
          <c:order val="1"/>
          <c:tx>
            <c:strRef>
              <c:f>'Posición Sectorial a PIB'!$D$3</c:f>
              <c:strCache>
                <c:ptCount val="1"/>
                <c:pt idx="0">
                  <c:v>ME</c:v>
                </c:pt>
              </c:strCache>
            </c:strRef>
          </c:tx>
          <c:invertIfNegative val="0"/>
          <c:cat>
            <c:numRef>
              <c:f>'Posición Sectorial a PIB'!$B$93:$B$104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PIB'!$D$93:$D$104</c:f>
              <c:numCache>
                <c:formatCode>0.0%</c:formatCode>
                <c:ptCount val="12"/>
                <c:pt idx="0">
                  <c:v>-7.4894202384691702E-2</c:v>
                </c:pt>
                <c:pt idx="1">
                  <c:v>-5.3455167432440331E-2</c:v>
                </c:pt>
                <c:pt idx="2">
                  <c:v>-2.7467999970313448E-2</c:v>
                </c:pt>
                <c:pt idx="3">
                  <c:v>-4.7104527132863727E-2</c:v>
                </c:pt>
                <c:pt idx="4">
                  <c:v>-6.475142071890222E-2</c:v>
                </c:pt>
                <c:pt idx="5">
                  <c:v>-0.10910470294961619</c:v>
                </c:pt>
                <c:pt idx="6">
                  <c:v>-0.12984102414566409</c:v>
                </c:pt>
                <c:pt idx="7">
                  <c:v>-0.15247446204977519</c:v>
                </c:pt>
                <c:pt idx="8">
                  <c:v>-0.16125485769994621</c:v>
                </c:pt>
                <c:pt idx="9">
                  <c:v>-0.16103801722193173</c:v>
                </c:pt>
                <c:pt idx="10">
                  <c:v>-0.14094759621564965</c:v>
                </c:pt>
                <c:pt idx="11">
                  <c:v>-0.14257500360324177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4D-4D48-A350-566A7CA72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89322752"/>
        <c:axId val="189572800"/>
      </c:barChart>
      <c:lineChart>
        <c:grouping val="standard"/>
        <c:varyColors val="0"/>
        <c:ser>
          <c:idx val="2"/>
          <c:order val="2"/>
          <c:tx>
            <c:strRef>
              <c:f>'Posición Sectorial a PIB'!$E$3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9"/>
            <c:spPr>
              <a:ln>
                <a:solidFill>
                  <a:schemeClr val="tx2"/>
                </a:solidFill>
              </a:ln>
            </c:spPr>
          </c:marker>
          <c:cat>
            <c:numRef>
              <c:f>'Posición Sectorial a PIB'!$B$93:$B$104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PIB'!$E$93:$E$104</c:f>
              <c:numCache>
                <c:formatCode>0.0%</c:formatCode>
                <c:ptCount val="12"/>
                <c:pt idx="0">
                  <c:v>-7.9808802056048303E-2</c:v>
                </c:pt>
                <c:pt idx="1">
                  <c:v>-6.0670472763548533E-2</c:v>
                </c:pt>
                <c:pt idx="2">
                  <c:v>-3.8852290338342796E-2</c:v>
                </c:pt>
                <c:pt idx="3">
                  <c:v>-4.9895134354781073E-2</c:v>
                </c:pt>
                <c:pt idx="4">
                  <c:v>-6.7422429612570972E-2</c:v>
                </c:pt>
                <c:pt idx="5">
                  <c:v>-0.11047623385708646</c:v>
                </c:pt>
                <c:pt idx="6">
                  <c:v>-0.13252835407480076</c:v>
                </c:pt>
                <c:pt idx="7">
                  <c:v>-0.15365747288754311</c:v>
                </c:pt>
                <c:pt idx="8">
                  <c:v>-0.16244936736169099</c:v>
                </c:pt>
                <c:pt idx="9">
                  <c:v>-0.16056005383030494</c:v>
                </c:pt>
                <c:pt idx="10">
                  <c:v>-0.13946487543119837</c:v>
                </c:pt>
                <c:pt idx="11">
                  <c:v>-0.13755957143992398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4D-4D48-A350-566A7CA72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322752"/>
        <c:axId val="189572800"/>
      </c:lineChart>
      <c:catAx>
        <c:axId val="18932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89572800"/>
        <c:crosses val="autoZero"/>
        <c:auto val="1"/>
        <c:lblAlgn val="ctr"/>
        <c:lblOffset val="100"/>
        <c:noMultiLvlLbl val="0"/>
      </c:catAx>
      <c:valAx>
        <c:axId val="189572800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DO"/>
          </a:p>
        </c:txPr>
        <c:crossAx val="1893227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3" l="0.70000000000000095" r="0.70000000000000095" t="0.750000000000003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'Posición Sectorial a PIB'!$C$3</c:f>
              <c:strCache>
                <c:ptCount val="1"/>
                <c:pt idx="0">
                  <c:v>MN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'Posición Sectorial a PIB'!$B$110:$B$121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PIB'!$C$110:$C$121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-1.4404236756862301E-4</c:v>
                </c:pt>
                <c:pt idx="8">
                  <c:v>-1.3119580978348175E-4</c:v>
                </c:pt>
                <c:pt idx="9">
                  <c:v>-1.1753055710872345E-4</c:v>
                </c:pt>
                <c:pt idx="10">
                  <c:v>-1.0729910830385971E-4</c:v>
                </c:pt>
                <c:pt idx="11">
                  <c:v>-1.5227945646147515E-4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8-954F-AE74-A092517FE415}"/>
            </c:ext>
          </c:extLst>
        </c:ser>
        <c:ser>
          <c:idx val="1"/>
          <c:order val="1"/>
          <c:tx>
            <c:strRef>
              <c:f>'Posición Sectorial a PIB'!$D$3</c:f>
              <c:strCache>
                <c:ptCount val="1"/>
                <c:pt idx="0">
                  <c:v>ME</c:v>
                </c:pt>
              </c:strCache>
            </c:strRef>
          </c:tx>
          <c:invertIfNegative val="0"/>
          <c:cat>
            <c:numRef>
              <c:f>'Posición Sectorial a PIB'!$B$110:$B$121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PIB'!$D$110:$D$121</c:f>
              <c:numCache>
                <c:formatCode>0.0%</c:formatCode>
                <c:ptCount val="12"/>
                <c:pt idx="0">
                  <c:v>8.093706288664182E-2</c:v>
                </c:pt>
                <c:pt idx="1">
                  <c:v>6.311629903957662E-2</c:v>
                </c:pt>
                <c:pt idx="2">
                  <c:v>4.1039006902750086E-2</c:v>
                </c:pt>
                <c:pt idx="3">
                  <c:v>5.0311203987524158E-2</c:v>
                </c:pt>
                <c:pt idx="4">
                  <c:v>6.7614545247733748E-2</c:v>
                </c:pt>
                <c:pt idx="5">
                  <c:v>0.11223212107381668</c:v>
                </c:pt>
                <c:pt idx="6">
                  <c:v>0.133504861212145</c:v>
                </c:pt>
                <c:pt idx="7">
                  <c:v>0.15311912802732444</c:v>
                </c:pt>
                <c:pt idx="8">
                  <c:v>0.16276818188208608</c:v>
                </c:pt>
                <c:pt idx="9">
                  <c:v>0.15981108777236624</c:v>
                </c:pt>
                <c:pt idx="10">
                  <c:v>0.1429249825434005</c:v>
                </c:pt>
                <c:pt idx="11">
                  <c:v>0.13919579013352434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28-954F-AE74-A092517FE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89501952"/>
        <c:axId val="189577408"/>
      </c:barChart>
      <c:lineChart>
        <c:grouping val="standard"/>
        <c:varyColors val="0"/>
        <c:ser>
          <c:idx val="2"/>
          <c:order val="2"/>
          <c:tx>
            <c:strRef>
              <c:f>'Posición Sectorial a PIB'!$E$3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9"/>
            <c:spPr>
              <a:ln>
                <a:solidFill>
                  <a:schemeClr val="tx2"/>
                </a:solidFill>
              </a:ln>
            </c:spPr>
          </c:marker>
          <c:cat>
            <c:numRef>
              <c:f>'Posición Sectorial a PIB'!$B$110:$B$121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a PIB'!$E$110:$E$121</c:f>
              <c:numCache>
                <c:formatCode>0.0%</c:formatCode>
                <c:ptCount val="12"/>
                <c:pt idx="0">
                  <c:v>8.093706288664182E-2</c:v>
                </c:pt>
                <c:pt idx="1">
                  <c:v>6.311629903957662E-2</c:v>
                </c:pt>
                <c:pt idx="2">
                  <c:v>4.1039006902750086E-2</c:v>
                </c:pt>
                <c:pt idx="3">
                  <c:v>5.0311203987524158E-2</c:v>
                </c:pt>
                <c:pt idx="4">
                  <c:v>6.7614545247733748E-2</c:v>
                </c:pt>
                <c:pt idx="5">
                  <c:v>0.11223212107381668</c:v>
                </c:pt>
                <c:pt idx="6">
                  <c:v>0.133504861212145</c:v>
                </c:pt>
                <c:pt idx="7">
                  <c:v>0.15297508565975582</c:v>
                </c:pt>
                <c:pt idx="8">
                  <c:v>0.16263698607230259</c:v>
                </c:pt>
                <c:pt idx="9">
                  <c:v>0.15969355721525752</c:v>
                </c:pt>
                <c:pt idx="10">
                  <c:v>0.14281768343509663</c:v>
                </c:pt>
                <c:pt idx="11">
                  <c:v>0.13904351067706286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28-954F-AE74-A092517FE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01952"/>
        <c:axId val="189577408"/>
      </c:lineChart>
      <c:catAx>
        <c:axId val="18950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89577408"/>
        <c:crosses val="autoZero"/>
        <c:auto val="1"/>
        <c:lblAlgn val="ctr"/>
        <c:lblOffset val="100"/>
        <c:noMultiLvlLbl val="0"/>
      </c:catAx>
      <c:valAx>
        <c:axId val="189577408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DO"/>
          </a:p>
        </c:txPr>
        <c:crossAx val="1895019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3" l="0.70000000000000095" r="0.70000000000000095" t="0.750000000000003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Posición sectorial neta a PIB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'Posición Sectorial a PIB'!$O$3</c:f>
              <c:strCache>
                <c:ptCount val="1"/>
                <c:pt idx="0">
                  <c:v>BC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'Posición Sectorial a PIB'!$M$4:$M$23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'Posición Sectorial a PIB'!$O$4:$O$23</c:f>
              <c:numCache>
                <c:formatCode>0.0%</c:formatCode>
                <c:ptCount val="20"/>
                <c:pt idx="0">
                  <c:v>1.4989880656180942E-2</c:v>
                </c:pt>
                <c:pt idx="1">
                  <c:v>1.2310499272527914E-2</c:v>
                </c:pt>
                <c:pt idx="2">
                  <c:v>1.4451219899812781E-2</c:v>
                </c:pt>
                <c:pt idx="3">
                  <c:v>1.7777079282444534E-2</c:v>
                </c:pt>
                <c:pt idx="4">
                  <c:v>1.7639523424347603E-2</c:v>
                </c:pt>
                <c:pt idx="5">
                  <c:v>1.9913261994067837E-2</c:v>
                </c:pt>
                <c:pt idx="6">
                  <c:v>1.3971172824980133E-2</c:v>
                </c:pt>
                <c:pt idx="7">
                  <c:v>1.6380844108941865E-2</c:v>
                </c:pt>
                <c:pt idx="8">
                  <c:v>1.5025850497451483E-2</c:v>
                </c:pt>
                <c:pt idx="9">
                  <c:v>1.3709489195510915E-2</c:v>
                </c:pt>
                <c:pt idx="10">
                  <c:v>1.470908149110307E-2</c:v>
                </c:pt>
                <c:pt idx="11">
                  <c:v>1.4473232587144107E-2</c:v>
                </c:pt>
                <c:pt idx="12">
                  <c:v>1.5513098011277461E-2</c:v>
                </c:pt>
                <c:pt idx="13">
                  <c:v>1.5451094865060818E-2</c:v>
                </c:pt>
                <c:pt idx="14">
                  <c:v>1.5451094865060818E-2</c:v>
                </c:pt>
                <c:pt idx="15">
                  <c:v>1.5451094865060818E-2</c:v>
                </c:pt>
                <c:pt idx="16">
                  <c:v>1.5451094865060818E-2</c:v>
                </c:pt>
                <c:pt idx="17">
                  <c:v>1.6451094865060818E-2</c:v>
                </c:pt>
                <c:pt idx="18">
                  <c:v>1.8451094865060819E-2</c:v>
                </c:pt>
                <c:pt idx="19">
                  <c:v>1.7451094865060818E-2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4A-B94B-814E-123E83DEB0E3}"/>
            </c:ext>
          </c:extLst>
        </c:ser>
        <c:ser>
          <c:idx val="1"/>
          <c:order val="1"/>
          <c:tx>
            <c:strRef>
              <c:f>'Posición Sectorial a PIB'!$P$3</c:f>
              <c:strCache>
                <c:ptCount val="1"/>
                <c:pt idx="0">
                  <c:v>SPub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'Posición Sectorial a PIB'!$M$4:$M$23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'Posición Sectorial a PIB'!$P$4:$P$23</c:f>
              <c:numCache>
                <c:formatCode>0.0%</c:formatCode>
                <c:ptCount val="20"/>
                <c:pt idx="0">
                  <c:v>-0.28176200085244513</c:v>
                </c:pt>
                <c:pt idx="1">
                  <c:v>-0.34586755094829957</c:v>
                </c:pt>
                <c:pt idx="2">
                  <c:v>-0.32429169939858121</c:v>
                </c:pt>
                <c:pt idx="3">
                  <c:v>-0.3358295568295554</c:v>
                </c:pt>
                <c:pt idx="4">
                  <c:v>-0.36159453424860832</c:v>
                </c:pt>
                <c:pt idx="5">
                  <c:v>-0.36076218821751327</c:v>
                </c:pt>
                <c:pt idx="6">
                  <c:v>-0.36770194079129481</c:v>
                </c:pt>
                <c:pt idx="7">
                  <c:v>-0.41830113627142351</c:v>
                </c:pt>
                <c:pt idx="8">
                  <c:v>-0.43966708611602029</c:v>
                </c:pt>
                <c:pt idx="9">
                  <c:v>-0.43663998035166984</c:v>
                </c:pt>
                <c:pt idx="10">
                  <c:v>-0.43984884557361204</c:v>
                </c:pt>
                <c:pt idx="11">
                  <c:v>-0.45896079463649486</c:v>
                </c:pt>
                <c:pt idx="12">
                  <c:v>-0.49196869063720272</c:v>
                </c:pt>
                <c:pt idx="13">
                  <c:v>-0.45756876348134473</c:v>
                </c:pt>
                <c:pt idx="14">
                  <c:v>-0.49188274978587637</c:v>
                </c:pt>
                <c:pt idx="15">
                  <c:v>-0.60212590443258374</c:v>
                </c:pt>
                <c:pt idx="16">
                  <c:v>-0.55200641176054144</c:v>
                </c:pt>
                <c:pt idx="17">
                  <c:v>-0.50375521588218364</c:v>
                </c:pt>
                <c:pt idx="18">
                  <c:v>-0.51391885483106747</c:v>
                </c:pt>
                <c:pt idx="19">
                  <c:v>-0.48572497668942888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4A-B94B-814E-123E83DEB0E3}"/>
            </c:ext>
          </c:extLst>
        </c:ser>
        <c:ser>
          <c:idx val="2"/>
          <c:order val="2"/>
          <c:tx>
            <c:strRef>
              <c:f>'Posición Sectorial a PIB'!$Q$3</c:f>
              <c:strCache>
                <c:ptCount val="1"/>
                <c:pt idx="0">
                  <c:v>OSD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'Posición Sectorial a PIB'!$M$4:$M$23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'Posición Sectorial a PIB'!$Q$4:$Q$23</c:f>
              <c:numCache>
                <c:formatCode>0.0%</c:formatCode>
                <c:ptCount val="20"/>
                <c:pt idx="0">
                  <c:v>-7.0178966535630355E-2</c:v>
                </c:pt>
                <c:pt idx="1">
                  <c:v>5.3943689859822482E-3</c:v>
                </c:pt>
                <c:pt idx="2">
                  <c:v>1.5358340821299013E-2</c:v>
                </c:pt>
                <c:pt idx="3">
                  <c:v>1.6816101789300625E-2</c:v>
                </c:pt>
                <c:pt idx="4">
                  <c:v>1.9119974113075075E-2</c:v>
                </c:pt>
                <c:pt idx="5">
                  <c:v>2.4359528087117673E-2</c:v>
                </c:pt>
                <c:pt idx="6">
                  <c:v>2.0073726942154188E-2</c:v>
                </c:pt>
                <c:pt idx="7">
                  <c:v>2.3207576095010271E-2</c:v>
                </c:pt>
                <c:pt idx="8">
                  <c:v>2.6280466717687693E-2</c:v>
                </c:pt>
                <c:pt idx="9">
                  <c:v>2.6026507958935179E-2</c:v>
                </c:pt>
                <c:pt idx="10">
                  <c:v>2.7137531097430046E-2</c:v>
                </c:pt>
                <c:pt idx="11">
                  <c:v>2.8777907266086131E-2</c:v>
                </c:pt>
                <c:pt idx="12">
                  <c:v>3.0595456011653921E-2</c:v>
                </c:pt>
                <c:pt idx="13">
                  <c:v>2.392895715714434E-2</c:v>
                </c:pt>
                <c:pt idx="14">
                  <c:v>2.2928957157144339E-2</c:v>
                </c:pt>
                <c:pt idx="15">
                  <c:v>2.392895715714434E-2</c:v>
                </c:pt>
                <c:pt idx="16">
                  <c:v>2.2928957157144339E-2</c:v>
                </c:pt>
                <c:pt idx="17">
                  <c:v>2.392895715714434E-2</c:v>
                </c:pt>
                <c:pt idx="18">
                  <c:v>2.1928957157144338E-2</c:v>
                </c:pt>
                <c:pt idx="19">
                  <c:v>2.392895715714434E-2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4A-B94B-814E-123E83DEB0E3}"/>
            </c:ext>
          </c:extLst>
        </c:ser>
        <c:ser>
          <c:idx val="3"/>
          <c:order val="3"/>
          <c:tx>
            <c:strRef>
              <c:f>'Posición Sectorial a PIB'!$R$3</c:f>
              <c:strCache>
                <c:ptCount val="1"/>
                <c:pt idx="0">
                  <c:v>OSF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'Posición Sectorial a PIB'!$M$4:$M$23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'Posición Sectorial a PIB'!$R$4:$R$23</c:f>
              <c:numCache>
                <c:formatCode>0.0%</c:formatCode>
                <c:ptCount val="20"/>
                <c:pt idx="0">
                  <c:v>-1.6028983891682835E-2</c:v>
                </c:pt>
                <c:pt idx="1">
                  <c:v>-8.6741255069646295E-3</c:v>
                </c:pt>
                <c:pt idx="2">
                  <c:v>-4.1869910933664614E-3</c:v>
                </c:pt>
                <c:pt idx="3">
                  <c:v>-7.9314888024622637E-3</c:v>
                </c:pt>
                <c:pt idx="4">
                  <c:v>-5.7981484921896054E-3</c:v>
                </c:pt>
                <c:pt idx="5">
                  <c:v>-5.8858330157025081E-4</c:v>
                </c:pt>
                <c:pt idx="6">
                  <c:v>-3.442607494445896E-3</c:v>
                </c:pt>
                <c:pt idx="7">
                  <c:v>-6.29302586121062E-3</c:v>
                </c:pt>
                <c:pt idx="8">
                  <c:v>5.2850833167133278E-5</c:v>
                </c:pt>
                <c:pt idx="9">
                  <c:v>-3.7786881697420157E-4</c:v>
                </c:pt>
                <c:pt idx="10">
                  <c:v>3.4445282375751211E-3</c:v>
                </c:pt>
                <c:pt idx="11">
                  <c:v>3.7654904355087894E-3</c:v>
                </c:pt>
                <c:pt idx="12">
                  <c:v>2.8600853570249184E-3</c:v>
                </c:pt>
                <c:pt idx="13">
                  <c:v>-2.2641570421589965E-3</c:v>
                </c:pt>
                <c:pt idx="14">
                  <c:v>7.3584295784100357E-4</c:v>
                </c:pt>
                <c:pt idx="15">
                  <c:v>-2.2641570421589965E-3</c:v>
                </c:pt>
                <c:pt idx="16">
                  <c:v>-2.2641570421589965E-3</c:v>
                </c:pt>
                <c:pt idx="17">
                  <c:v>-2.6415704215899645E-4</c:v>
                </c:pt>
                <c:pt idx="18">
                  <c:v>-2.6415704215899645E-4</c:v>
                </c:pt>
                <c:pt idx="19">
                  <c:v>-2.6415704215899645E-4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4A-B94B-814E-123E83DEB0E3}"/>
            </c:ext>
          </c:extLst>
        </c:ser>
        <c:ser>
          <c:idx val="4"/>
          <c:order val="4"/>
          <c:tx>
            <c:strRef>
              <c:f>'Posición Sectorial a PIB'!$S$3</c:f>
              <c:strCache>
                <c:ptCount val="1"/>
                <c:pt idx="0">
                  <c:v>SPriv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'Posición Sectorial a PIB'!$M$4:$M$23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'Posición Sectorial a PIB'!$S$4:$S$23</c:f>
              <c:numCache>
                <c:formatCode>0.0%</c:formatCode>
                <c:ptCount val="20"/>
                <c:pt idx="0">
                  <c:v>0.27317126856752905</c:v>
                </c:pt>
                <c:pt idx="1">
                  <c:v>0.27616633543320551</c:v>
                </c:pt>
                <c:pt idx="2">
                  <c:v>0.25981683943249312</c:v>
                </c:pt>
                <c:pt idx="3">
                  <c:v>0.25927273020549141</c:v>
                </c:pt>
                <c:pt idx="4">
                  <c:v>0.2632107555908042</c:v>
                </c:pt>
                <c:pt idx="5">
                  <c:v>0.20660174758081151</c:v>
                </c:pt>
                <c:pt idx="6">
                  <c:v>0.20457129444380562</c:v>
                </c:pt>
                <c:pt idx="7">
                  <c:v>0.23134826904113892</c:v>
                </c:pt>
                <c:pt idx="8">
                  <c:v>0.23585855070602299</c:v>
                </c:pt>
                <c:pt idx="9">
                  <c:v>0.236721798183893</c:v>
                </c:pt>
                <c:pt idx="10">
                  <c:v>0.25509282931630539</c:v>
                </c:pt>
                <c:pt idx="11">
                  <c:v>0.27438459290783179</c:v>
                </c:pt>
                <c:pt idx="12">
                  <c:v>0.31833383498215523</c:v>
                </c:pt>
                <c:pt idx="13">
                  <c:v>0.25441081790834907</c:v>
                </c:pt>
                <c:pt idx="14">
                  <c:v>0.28305068858649218</c:v>
                </c:pt>
                <c:pt idx="15">
                  <c:v>0.36772338695875939</c:v>
                </c:pt>
                <c:pt idx="16">
                  <c:v>0.37865842198446864</c:v>
                </c:pt>
                <c:pt idx="17">
                  <c:v>0.37374728052718209</c:v>
                </c:pt>
                <c:pt idx="18">
                  <c:v>0.36538531021615378</c:v>
                </c:pt>
                <c:pt idx="19">
                  <c:v>0.3344971154155193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4A-B94B-814E-123E83DEB0E3}"/>
            </c:ext>
          </c:extLst>
        </c:ser>
        <c:ser>
          <c:idx val="5"/>
          <c:order val="5"/>
          <c:tx>
            <c:strRef>
              <c:f>'Posición Sectorial a PIB'!$T$3</c:f>
              <c:strCache>
                <c:ptCount val="1"/>
                <c:pt idx="0">
                  <c:v>TOT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'Posición Sectorial a PIB'!$M$4:$M$23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'Posición Sectorial a PIB'!$T$4:$T$23</c:f>
              <c:numCache>
                <c:formatCode>0.0%</c:formatCode>
                <c:ptCount val="20"/>
                <c:pt idx="0">
                  <c:v>-7.9808802056048345E-2</c:v>
                </c:pt>
                <c:pt idx="1">
                  <c:v>-6.0670472763548533E-2</c:v>
                </c:pt>
                <c:pt idx="2">
                  <c:v>-3.8852290338342754E-2</c:v>
                </c:pt>
                <c:pt idx="3">
                  <c:v>-4.9895134354781101E-2</c:v>
                </c:pt>
                <c:pt idx="4">
                  <c:v>-6.7422429612571055E-2</c:v>
                </c:pt>
                <c:pt idx="5">
                  <c:v>-0.11047623385708649</c:v>
                </c:pt>
                <c:pt idx="6">
                  <c:v>-0.13252835407480079</c:v>
                </c:pt>
                <c:pt idx="7">
                  <c:v>-0.15365747288754306</c:v>
                </c:pt>
                <c:pt idx="8">
                  <c:v>-0.16244936736169099</c:v>
                </c:pt>
                <c:pt idx="9">
                  <c:v>-0.16056005383030497</c:v>
                </c:pt>
                <c:pt idx="10">
                  <c:v>-0.1394648754311984</c:v>
                </c:pt>
                <c:pt idx="11">
                  <c:v>-0.13755957143992403</c:v>
                </c:pt>
                <c:pt idx="12">
                  <c:v>-0.12466621627509117</c:v>
                </c:pt>
                <c:pt idx="13">
                  <c:v>-0.16604205059294957</c:v>
                </c:pt>
                <c:pt idx="14">
                  <c:v>-0.16971616621933822</c:v>
                </c:pt>
                <c:pt idx="15">
                  <c:v>-0.19728662249377854</c:v>
                </c:pt>
                <c:pt idx="16">
                  <c:v>-0.13723209479602627</c:v>
                </c:pt>
                <c:pt idx="17">
                  <c:v>-8.9892040374955517E-2</c:v>
                </c:pt>
                <c:pt idx="18">
                  <c:v>-0.10841764963486733</c:v>
                </c:pt>
                <c:pt idx="19">
                  <c:v>-0.11011196629386372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4A-B94B-814E-123E83DEB0E3}"/>
            </c:ext>
          </c:extLst>
        </c:ser>
        <c:ser>
          <c:idx val="6"/>
          <c:order val="6"/>
          <c:tx>
            <c:strRef>
              <c:f>'Posición Sectorial a PIB'!$U$3</c:f>
              <c:strCache>
                <c:ptCount val="1"/>
                <c:pt idx="0">
                  <c:v>NR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'Posición Sectorial a PIB'!$M$4:$M$23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'Posición Sectorial a PIB'!$U$4:$U$23</c:f>
              <c:numCache>
                <c:formatCode>0.0%</c:formatCode>
                <c:ptCount val="20"/>
                <c:pt idx="0">
                  <c:v>8.093706288664182E-2</c:v>
                </c:pt>
                <c:pt idx="1">
                  <c:v>6.311629903957662E-2</c:v>
                </c:pt>
                <c:pt idx="2">
                  <c:v>4.1039006902750086E-2</c:v>
                </c:pt>
                <c:pt idx="3">
                  <c:v>5.0311203987524158E-2</c:v>
                </c:pt>
                <c:pt idx="4">
                  <c:v>6.7614545247733748E-2</c:v>
                </c:pt>
                <c:pt idx="5">
                  <c:v>0.11223212107381668</c:v>
                </c:pt>
                <c:pt idx="6">
                  <c:v>0.133504861212145</c:v>
                </c:pt>
                <c:pt idx="7">
                  <c:v>0.15297508565975582</c:v>
                </c:pt>
                <c:pt idx="8">
                  <c:v>0.16263698607230259</c:v>
                </c:pt>
                <c:pt idx="9">
                  <c:v>0.15969355721525752</c:v>
                </c:pt>
                <c:pt idx="10">
                  <c:v>0.14281768343509663</c:v>
                </c:pt>
                <c:pt idx="11">
                  <c:v>0.13904351067706286</c:v>
                </c:pt>
                <c:pt idx="12">
                  <c:v>0.12544626228432207</c:v>
                </c:pt>
                <c:pt idx="13">
                  <c:v>0.16204205059294949</c:v>
                </c:pt>
                <c:pt idx="14">
                  <c:v>0.16571616621933805</c:v>
                </c:pt>
                <c:pt idx="15">
                  <c:v>0.19428662249377812</c:v>
                </c:pt>
                <c:pt idx="16">
                  <c:v>0.13323209479602663</c:v>
                </c:pt>
                <c:pt idx="17">
                  <c:v>8.9892040374955434E-2</c:v>
                </c:pt>
                <c:pt idx="18">
                  <c:v>0.11241764963486754</c:v>
                </c:pt>
                <c:pt idx="19">
                  <c:v>0.11011196629386341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4A-B94B-814E-123E83DEB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437936"/>
        <c:axId val="2021205136"/>
      </c:lineChart>
      <c:catAx>
        <c:axId val="6474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205136"/>
        <c:crosses val="autoZero"/>
        <c:auto val="1"/>
        <c:lblAlgn val="ctr"/>
        <c:lblOffset val="100"/>
        <c:noMultiLvlLbl val="0"/>
      </c:catAx>
      <c:valAx>
        <c:axId val="20212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3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'Posición Sectorial en ME'!$C$3</c:f>
              <c:strCache>
                <c:ptCount val="1"/>
                <c:pt idx="0">
                  <c:v>Activos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'Posición Sectorial en ME'!$B$4:$B$15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ME'!$C$4:$C$15</c:f>
              <c:numCache>
                <c:formatCode>_(* #,##0.00_);_(* \(#,##0.00\);_(* "-"??_);_(@_)</c:formatCode>
                <c:ptCount val="12"/>
                <c:pt idx="0">
                  <c:v>2107.5175295077483</c:v>
                </c:pt>
                <c:pt idx="1">
                  <c:v>2433.0859186813368</c:v>
                </c:pt>
                <c:pt idx="2">
                  <c:v>3139.2509400576487</c:v>
                </c:pt>
                <c:pt idx="3">
                  <c:v>2905.3423103152691</c:v>
                </c:pt>
                <c:pt idx="4">
                  <c:v>3538.5347091258145</c:v>
                </c:pt>
                <c:pt idx="5">
                  <c:v>3992.7099956794009</c:v>
                </c:pt>
                <c:pt idx="6">
                  <c:v>4332.4514516327899</c:v>
                </c:pt>
                <c:pt idx="7">
                  <c:v>3801.1285428990686</c:v>
                </c:pt>
                <c:pt idx="8">
                  <c:v>4952.6109145620594</c:v>
                </c:pt>
                <c:pt idx="9">
                  <c:v>5124.0734508421938</c:v>
                </c:pt>
                <c:pt idx="10">
                  <c:v>5542.966980201707</c:v>
                </c:pt>
                <c:pt idx="11">
                  <c:v>6334.1583503264328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7-C940-A49F-252EFE62536F}"/>
            </c:ext>
          </c:extLst>
        </c:ser>
        <c:ser>
          <c:idx val="1"/>
          <c:order val="1"/>
          <c:tx>
            <c:strRef>
              <c:f>'Posición Sectorial en ME'!$D$3</c:f>
              <c:strCache>
                <c:ptCount val="1"/>
                <c:pt idx="0">
                  <c:v>Pasivos</c:v>
                </c:pt>
              </c:strCache>
            </c:strRef>
          </c:tx>
          <c:invertIfNegative val="0"/>
          <c:cat>
            <c:numRef>
              <c:f>'Posición Sectorial en ME'!$B$4:$B$15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ME'!$D$4:$D$15</c:f>
              <c:numCache>
                <c:formatCode>_(* #,##0.00_);_(* \(#,##0.00\);_(* "-"??_);_(@_)</c:formatCode>
                <c:ptCount val="12"/>
                <c:pt idx="0">
                  <c:v>-1811.2589852746396</c:v>
                </c:pt>
                <c:pt idx="1">
                  <c:v>-1626.7470009065951</c:v>
                </c:pt>
                <c:pt idx="2">
                  <c:v>-1600.5315375807309</c:v>
                </c:pt>
                <c:pt idx="3">
                  <c:v>-1496.5087965442428</c:v>
                </c:pt>
                <c:pt idx="4">
                  <c:v>-1922.3231265132815</c:v>
                </c:pt>
                <c:pt idx="5">
                  <c:v>-2331.3823984444234</c:v>
                </c:pt>
                <c:pt idx="6">
                  <c:v>-2426.5363328577291</c:v>
                </c:pt>
                <c:pt idx="7">
                  <c:v>-2195.9263387303272</c:v>
                </c:pt>
                <c:pt idx="8">
                  <c:v>-2739.4946665641642</c:v>
                </c:pt>
                <c:pt idx="9">
                  <c:v>-2288.8128110338034</c:v>
                </c:pt>
                <c:pt idx="10">
                  <c:v>-2412.310937281562</c:v>
                </c:pt>
                <c:pt idx="11">
                  <c:v>-3047.5773836176022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7-C940-A49F-252EFE625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89098496"/>
        <c:axId val="189743680"/>
      </c:barChart>
      <c:lineChart>
        <c:grouping val="standard"/>
        <c:varyColors val="0"/>
        <c:ser>
          <c:idx val="2"/>
          <c:order val="2"/>
          <c:tx>
            <c:strRef>
              <c:f>'Posición Sectorial en ME'!$E$3</c:f>
              <c:strCache>
                <c:ptCount val="1"/>
                <c:pt idx="0">
                  <c:v>Posición Neta</c:v>
                </c:pt>
              </c:strCache>
            </c:strRef>
          </c:tx>
          <c:spPr>
            <a:ln w="60325">
              <a:noFill/>
            </a:ln>
          </c:spPr>
          <c:marker>
            <c:symbol val="circle"/>
            <c:size val="9"/>
            <c:spPr>
              <a:ln>
                <a:solidFill>
                  <a:schemeClr val="tx2"/>
                </a:solidFill>
              </a:ln>
            </c:spPr>
          </c:marker>
          <c:cat>
            <c:numRef>
              <c:f>'Posición Sectorial en ME'!$B$4:$B$15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ME'!$E$4:$E$15</c:f>
              <c:numCache>
                <c:formatCode>_(* #,##0.00_);_(* \(#,##0.00\);_(* "-"??_);_(@_)</c:formatCode>
                <c:ptCount val="12"/>
                <c:pt idx="0">
                  <c:v>296.25854423310875</c:v>
                </c:pt>
                <c:pt idx="1">
                  <c:v>806.33891777474173</c:v>
                </c:pt>
                <c:pt idx="2">
                  <c:v>1538.7194024769178</c:v>
                </c:pt>
                <c:pt idx="3">
                  <c:v>1408.8335137710262</c:v>
                </c:pt>
                <c:pt idx="4">
                  <c:v>1616.211582612533</c:v>
                </c:pt>
                <c:pt idx="5">
                  <c:v>1661.3275972349775</c:v>
                </c:pt>
                <c:pt idx="6">
                  <c:v>1905.9151187750608</c:v>
                </c:pt>
                <c:pt idx="7">
                  <c:v>1605.2022041687414</c:v>
                </c:pt>
                <c:pt idx="8">
                  <c:v>2213.1162479978952</c:v>
                </c:pt>
                <c:pt idx="9">
                  <c:v>2835.2606398083904</c:v>
                </c:pt>
                <c:pt idx="10">
                  <c:v>3130.656042920145</c:v>
                </c:pt>
                <c:pt idx="11">
                  <c:v>3286.5809667088306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57-C940-A49F-252EFE625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098496"/>
        <c:axId val="189743680"/>
      </c:lineChart>
      <c:catAx>
        <c:axId val="18909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89743680"/>
        <c:crosses val="autoZero"/>
        <c:auto val="1"/>
        <c:lblAlgn val="ctr"/>
        <c:lblOffset val="100"/>
        <c:noMultiLvlLbl val="0"/>
      </c:catAx>
      <c:valAx>
        <c:axId val="18974368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DO"/>
          </a:p>
        </c:txPr>
        <c:crossAx val="18909849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'Posición Sectorial en ME'!$C$3</c:f>
              <c:strCache>
                <c:ptCount val="1"/>
                <c:pt idx="0">
                  <c:v>Activos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'Posición Sectorial en ME'!$B$22:$B$33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ME'!$C$22:$C$33</c:f>
              <c:numCache>
                <c:formatCode>_(* #,##0.00_);_(* \(#,##0.00\);_(* "-"??_);_(@_)</c:formatCode>
                <c:ptCount val="12"/>
                <c:pt idx="0">
                  <c:v>47.088835081268925</c:v>
                </c:pt>
                <c:pt idx="1">
                  <c:v>77.325935869889605</c:v>
                </c:pt>
                <c:pt idx="2">
                  <c:v>173.43702580819004</c:v>
                </c:pt>
                <c:pt idx="3">
                  <c:v>125.92403328757801</c:v>
                </c:pt>
                <c:pt idx="4">
                  <c:v>205.36693825622388</c:v>
                </c:pt>
                <c:pt idx="5">
                  <c:v>537.19619603527292</c:v>
                </c:pt>
                <c:pt idx="6">
                  <c:v>135.66653231381846</c:v>
                </c:pt>
                <c:pt idx="7">
                  <c:v>183.69767167297545</c:v>
                </c:pt>
                <c:pt idx="8">
                  <c:v>552.61196366096976</c:v>
                </c:pt>
                <c:pt idx="9">
                  <c:v>169.74107940719358</c:v>
                </c:pt>
                <c:pt idx="10">
                  <c:v>180.30878461922495</c:v>
                </c:pt>
                <c:pt idx="11">
                  <c:v>234.12000221764117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C-B746-9C74-F5501311E46F}"/>
            </c:ext>
          </c:extLst>
        </c:ser>
        <c:ser>
          <c:idx val="1"/>
          <c:order val="1"/>
          <c:tx>
            <c:strRef>
              <c:f>'Posición Sectorial en ME'!$D$3</c:f>
              <c:strCache>
                <c:ptCount val="1"/>
                <c:pt idx="0">
                  <c:v>Pasivos</c:v>
                </c:pt>
              </c:strCache>
            </c:strRef>
          </c:tx>
          <c:invertIfNegative val="0"/>
          <c:cat>
            <c:numRef>
              <c:f>'Posición Sectorial en ME'!$B$22:$B$33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ME'!$D$22:$D$33</c:f>
              <c:numCache>
                <c:formatCode>_(* #,##0.00_);_(* \(#,##0.00\);_(* "-"??_);_(@_)</c:formatCode>
                <c:ptCount val="12"/>
                <c:pt idx="0">
                  <c:v>-5920.3779743804034</c:v>
                </c:pt>
                <c:pt idx="1">
                  <c:v>-6790.0541717696206</c:v>
                </c:pt>
                <c:pt idx="2">
                  <c:v>-6959.481575399529</c:v>
                </c:pt>
                <c:pt idx="3">
                  <c:v>-7533.2606019134982</c:v>
                </c:pt>
                <c:pt idx="4">
                  <c:v>-9112.2629301576399</c:v>
                </c:pt>
                <c:pt idx="5">
                  <c:v>-10859.850467311377</c:v>
                </c:pt>
                <c:pt idx="6">
                  <c:v>-12497.888124356024</c:v>
                </c:pt>
                <c:pt idx="7">
                  <c:v>-14753.01267334307</c:v>
                </c:pt>
                <c:pt idx="8">
                  <c:v>-17040.660997800445</c:v>
                </c:pt>
                <c:pt idx="9">
                  <c:v>-17696.477634123468</c:v>
                </c:pt>
                <c:pt idx="10">
                  <c:v>-17827.484961548391</c:v>
                </c:pt>
                <c:pt idx="11">
                  <c:v>-19379.591251064521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C-B746-9C74-F5501311E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89030912"/>
        <c:axId val="189745984"/>
      </c:barChart>
      <c:lineChart>
        <c:grouping val="standard"/>
        <c:varyColors val="0"/>
        <c:ser>
          <c:idx val="2"/>
          <c:order val="2"/>
          <c:tx>
            <c:strRef>
              <c:f>'Posición Sectorial en ME'!$E$3</c:f>
              <c:strCache>
                <c:ptCount val="1"/>
                <c:pt idx="0">
                  <c:v>Posición Neta</c:v>
                </c:pt>
              </c:strCache>
            </c:strRef>
          </c:tx>
          <c:spPr>
            <a:ln w="60325">
              <a:noFill/>
            </a:ln>
          </c:spPr>
          <c:marker>
            <c:symbol val="circle"/>
            <c:size val="9"/>
            <c:spPr>
              <a:ln>
                <a:solidFill>
                  <a:schemeClr val="tx2"/>
                </a:solidFill>
              </a:ln>
            </c:spPr>
          </c:marker>
          <c:cat>
            <c:numRef>
              <c:f>'Posición Sectorial en ME'!$B$22:$B$33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ME'!$E$22:$E$33</c:f>
              <c:numCache>
                <c:formatCode>_(* #,##0.00_);_(* \(#,##0.00\);_(* "-"??_);_(@_)</c:formatCode>
                <c:ptCount val="12"/>
                <c:pt idx="0">
                  <c:v>-5873.2891392991341</c:v>
                </c:pt>
                <c:pt idx="1">
                  <c:v>-6712.7282358997309</c:v>
                </c:pt>
                <c:pt idx="2">
                  <c:v>-6786.0445495913391</c:v>
                </c:pt>
                <c:pt idx="3">
                  <c:v>-7407.3365686259203</c:v>
                </c:pt>
                <c:pt idx="4">
                  <c:v>-8906.895991901416</c:v>
                </c:pt>
                <c:pt idx="5">
                  <c:v>-10322.654271276104</c:v>
                </c:pt>
                <c:pt idx="6">
                  <c:v>-12362.221592042206</c:v>
                </c:pt>
                <c:pt idx="7">
                  <c:v>-14569.315001670095</c:v>
                </c:pt>
                <c:pt idx="8">
                  <c:v>-16488.049034139476</c:v>
                </c:pt>
                <c:pt idx="9">
                  <c:v>-17526.736554716274</c:v>
                </c:pt>
                <c:pt idx="10">
                  <c:v>-17647.176176929166</c:v>
                </c:pt>
                <c:pt idx="11">
                  <c:v>-19145.471248846879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BC-B746-9C74-F5501311E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030912"/>
        <c:axId val="189745984"/>
      </c:lineChart>
      <c:catAx>
        <c:axId val="18903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89745984"/>
        <c:crosses val="autoZero"/>
        <c:auto val="1"/>
        <c:lblAlgn val="ctr"/>
        <c:lblOffset val="100"/>
        <c:noMultiLvlLbl val="0"/>
      </c:catAx>
      <c:valAx>
        <c:axId val="18974598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DO"/>
          </a:p>
        </c:txPr>
        <c:crossAx val="1890309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'Posición Sectorial en ME'!$C$3</c:f>
              <c:strCache>
                <c:ptCount val="1"/>
                <c:pt idx="0">
                  <c:v>Activos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'Posición Sectorial en ME'!$B$39:$B$50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ME'!$C$39:$C$50</c:f>
              <c:numCache>
                <c:formatCode>_(* #,##0.00_);_(* \(#,##0.00\);_(* "-"??_);_(@_)</c:formatCode>
                <c:ptCount val="12"/>
                <c:pt idx="0">
                  <c:v>2934.7709852020171</c:v>
                </c:pt>
                <c:pt idx="1">
                  <c:v>2806.0456026532379</c:v>
                </c:pt>
                <c:pt idx="2">
                  <c:v>3362.451372116971</c:v>
                </c:pt>
                <c:pt idx="3">
                  <c:v>3545.849407146909</c:v>
                </c:pt>
                <c:pt idx="4">
                  <c:v>3753.5535008070465</c:v>
                </c:pt>
                <c:pt idx="5">
                  <c:v>4244.1917835334361</c:v>
                </c:pt>
                <c:pt idx="6">
                  <c:v>4390.954092435758</c:v>
                </c:pt>
                <c:pt idx="7">
                  <c:v>5153.8818892134368</c:v>
                </c:pt>
                <c:pt idx="8">
                  <c:v>6535.4892358921352</c:v>
                </c:pt>
                <c:pt idx="9">
                  <c:v>6801.4952230197741</c:v>
                </c:pt>
                <c:pt idx="10">
                  <c:v>7440.4487027416426</c:v>
                </c:pt>
                <c:pt idx="11">
                  <c:v>7950.8343477178978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A-A84A-9ABC-055B620588E8}"/>
            </c:ext>
          </c:extLst>
        </c:ser>
        <c:ser>
          <c:idx val="1"/>
          <c:order val="1"/>
          <c:tx>
            <c:strRef>
              <c:f>'Posición Sectorial en ME'!$D$3</c:f>
              <c:strCache>
                <c:ptCount val="1"/>
                <c:pt idx="0">
                  <c:v>Pasivos</c:v>
                </c:pt>
              </c:strCache>
            </c:strRef>
          </c:tx>
          <c:invertIfNegative val="0"/>
          <c:cat>
            <c:numRef>
              <c:f>'Posición Sectorial en ME'!$B$39:$B$50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ME'!$D$39:$D$50</c:f>
              <c:numCache>
                <c:formatCode>_(* #,##0.00_);_(* \(#,##0.00\);_(* "-"??_);_(@_)</c:formatCode>
                <c:ptCount val="12"/>
                <c:pt idx="0">
                  <c:v>-2332.0391893694523</c:v>
                </c:pt>
                <c:pt idx="1">
                  <c:v>-2493.4460570558044</c:v>
                </c:pt>
                <c:pt idx="2">
                  <c:v>-2913.8163741820858</c:v>
                </c:pt>
                <c:pt idx="3">
                  <c:v>-3178.579784753545</c:v>
                </c:pt>
                <c:pt idx="4">
                  <c:v>-3378.0858466500636</c:v>
                </c:pt>
                <c:pt idx="5">
                  <c:v>-4495.8799208206292</c:v>
                </c:pt>
                <c:pt idx="6">
                  <c:v>-5005.5044558186983</c:v>
                </c:pt>
                <c:pt idx="7">
                  <c:v>-5475.508600265267</c:v>
                </c:pt>
                <c:pt idx="8">
                  <c:v>-6435.4533283961719</c:v>
                </c:pt>
                <c:pt idx="9">
                  <c:v>-6942.2451615431428</c:v>
                </c:pt>
                <c:pt idx="10">
                  <c:v>-7567.4204243719369</c:v>
                </c:pt>
                <c:pt idx="11">
                  <c:v>-8099.9434661529767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AA-A84A-9ABC-055B62058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89032448"/>
        <c:axId val="189748288"/>
      </c:barChart>
      <c:lineChart>
        <c:grouping val="standard"/>
        <c:varyColors val="0"/>
        <c:ser>
          <c:idx val="2"/>
          <c:order val="2"/>
          <c:tx>
            <c:strRef>
              <c:f>'Posición Sectorial en ME'!$E$3</c:f>
              <c:strCache>
                <c:ptCount val="1"/>
                <c:pt idx="0">
                  <c:v>Posición Neta</c:v>
                </c:pt>
              </c:strCache>
            </c:strRef>
          </c:tx>
          <c:spPr>
            <a:ln w="60325">
              <a:noFill/>
            </a:ln>
          </c:spPr>
          <c:marker>
            <c:symbol val="circle"/>
            <c:size val="9"/>
            <c:spPr>
              <a:ln>
                <a:solidFill>
                  <a:schemeClr val="tx2"/>
                </a:solidFill>
              </a:ln>
            </c:spPr>
          </c:marker>
          <c:cat>
            <c:numRef>
              <c:f>'Posición Sectorial en ME'!$B$39:$B$50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ME'!$E$39:$E$50</c:f>
              <c:numCache>
                <c:formatCode>_(* #,##0.00_);_(* \(#,##0.00\);_(* "-"??_);_(@_)</c:formatCode>
                <c:ptCount val="12"/>
                <c:pt idx="0">
                  <c:v>602.73179583256479</c:v>
                </c:pt>
                <c:pt idx="1">
                  <c:v>312.59954559743346</c:v>
                </c:pt>
                <c:pt idx="2">
                  <c:v>448.63499793488518</c:v>
                </c:pt>
                <c:pt idx="3">
                  <c:v>367.26962239336399</c:v>
                </c:pt>
                <c:pt idx="4">
                  <c:v>375.46765415698292</c:v>
                </c:pt>
                <c:pt idx="5">
                  <c:v>-251.68813728719306</c:v>
                </c:pt>
                <c:pt idx="6">
                  <c:v>-614.5503633829403</c:v>
                </c:pt>
                <c:pt idx="7">
                  <c:v>-321.62671105183017</c:v>
                </c:pt>
                <c:pt idx="8">
                  <c:v>100.03590749596333</c:v>
                </c:pt>
                <c:pt idx="9">
                  <c:v>-140.74993852336866</c:v>
                </c:pt>
                <c:pt idx="10">
                  <c:v>-126.97172163029427</c:v>
                </c:pt>
                <c:pt idx="11">
                  <c:v>-149.10911843507893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AA-A84A-9ABC-055B62058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032448"/>
        <c:axId val="189748288"/>
      </c:lineChart>
      <c:catAx>
        <c:axId val="18903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89748288"/>
        <c:crosses val="autoZero"/>
        <c:auto val="1"/>
        <c:lblAlgn val="ctr"/>
        <c:lblOffset val="100"/>
        <c:noMultiLvlLbl val="0"/>
      </c:catAx>
      <c:valAx>
        <c:axId val="18974828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DO"/>
          </a:p>
        </c:txPr>
        <c:crossAx val="18903244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'Posición Sectorial en ME'!$C$3</c:f>
              <c:strCache>
                <c:ptCount val="1"/>
                <c:pt idx="0">
                  <c:v>Activos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'Posición Sectorial en ME'!$B$57:$B$68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ME'!$C$57:$C$68</c:f>
              <c:numCache>
                <c:formatCode>_(* #,##0.00_);_(* \(#,##0.00\);_(* "-"??_);_(@_)</c:formatCode>
                <c:ptCount val="12"/>
                <c:pt idx="0">
                  <c:v>10.103596831412101</c:v>
                </c:pt>
                <c:pt idx="1">
                  <c:v>17.2420069334527</c:v>
                </c:pt>
                <c:pt idx="2">
                  <c:v>29.539284148497352</c:v>
                </c:pt>
                <c:pt idx="3">
                  <c:v>29.41918156551333</c:v>
                </c:pt>
                <c:pt idx="4">
                  <c:v>47.128624415515262</c:v>
                </c:pt>
                <c:pt idx="5">
                  <c:v>23.058716875943617</c:v>
                </c:pt>
                <c:pt idx="6">
                  <c:v>101.86473114762566</c:v>
                </c:pt>
                <c:pt idx="7">
                  <c:v>160.92118434125163</c:v>
                </c:pt>
                <c:pt idx="8">
                  <c:v>102.42227676877039</c:v>
                </c:pt>
                <c:pt idx="9">
                  <c:v>132.33267613322988</c:v>
                </c:pt>
                <c:pt idx="10">
                  <c:v>127.42616655113035</c:v>
                </c:pt>
                <c:pt idx="11">
                  <c:v>164.12571749594034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5-CA46-9776-2EB7701985DF}"/>
            </c:ext>
          </c:extLst>
        </c:ser>
        <c:ser>
          <c:idx val="1"/>
          <c:order val="1"/>
          <c:tx>
            <c:strRef>
              <c:f>'Posición Sectorial en ME'!$D$3</c:f>
              <c:strCache>
                <c:ptCount val="1"/>
                <c:pt idx="0">
                  <c:v>Pasivos</c:v>
                </c:pt>
              </c:strCache>
            </c:strRef>
          </c:tx>
          <c:invertIfNegative val="0"/>
          <c:cat>
            <c:numRef>
              <c:f>'Posición Sectorial en ME'!$B$57:$B$68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ME'!$D$57:$D$68</c:f>
              <c:numCache>
                <c:formatCode>_(* #,##0.00_);_(* \(#,##0.00\);_(* "-"??_);_(@_)</c:formatCode>
                <c:ptCount val="12"/>
                <c:pt idx="0">
                  <c:v>-24.042867163112387</c:v>
                </c:pt>
                <c:pt idx="1">
                  <c:v>-45.216305011339898</c:v>
                </c:pt>
                <c:pt idx="2">
                  <c:v>-50.236040161461403</c:v>
                </c:pt>
                <c:pt idx="3">
                  <c:v>-42.150415798355084</c:v>
                </c:pt>
                <c:pt idx="4">
                  <c:v>-53.34028843177822</c:v>
                </c:pt>
                <c:pt idx="5">
                  <c:v>-49.332337822165812</c:v>
                </c:pt>
                <c:pt idx="6">
                  <c:v>-67.645926020354139</c:v>
                </c:pt>
                <c:pt idx="7">
                  <c:v>-54.41937637874679</c:v>
                </c:pt>
                <c:pt idx="8">
                  <c:v>-61.389873750184549</c:v>
                </c:pt>
                <c:pt idx="9">
                  <c:v>-53.72506549714614</c:v>
                </c:pt>
                <c:pt idx="10">
                  <c:v>-199.66173353706148</c:v>
                </c:pt>
                <c:pt idx="11">
                  <c:v>-136.62537247597984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55-CA46-9776-2EB770198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70254336"/>
        <c:axId val="189750592"/>
      </c:barChart>
      <c:lineChart>
        <c:grouping val="standard"/>
        <c:varyColors val="0"/>
        <c:ser>
          <c:idx val="2"/>
          <c:order val="2"/>
          <c:tx>
            <c:strRef>
              <c:f>'Posición Sectorial en ME'!$E$3</c:f>
              <c:strCache>
                <c:ptCount val="1"/>
                <c:pt idx="0">
                  <c:v>Posición Neta</c:v>
                </c:pt>
              </c:strCache>
            </c:strRef>
          </c:tx>
          <c:spPr>
            <a:ln w="60325">
              <a:noFill/>
            </a:ln>
          </c:spPr>
          <c:marker>
            <c:symbol val="circle"/>
            <c:size val="9"/>
            <c:spPr>
              <a:ln>
                <a:solidFill>
                  <a:schemeClr val="tx2"/>
                </a:solidFill>
              </a:ln>
            </c:spPr>
          </c:marker>
          <c:cat>
            <c:numRef>
              <c:f>'Posición Sectorial en ME'!$B$57:$B$68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ME'!$E$57:$E$68</c:f>
              <c:numCache>
                <c:formatCode>_(* #,##0.00_);_(* \(#,##0.00\);_(* "-"??_);_(@_)</c:formatCode>
                <c:ptCount val="12"/>
                <c:pt idx="0">
                  <c:v>-13.939270331700286</c:v>
                </c:pt>
                <c:pt idx="1">
                  <c:v>-27.974298077887198</c:v>
                </c:pt>
                <c:pt idx="2">
                  <c:v>-20.696756012964052</c:v>
                </c:pt>
                <c:pt idx="3">
                  <c:v>-12.731234232841754</c:v>
                </c:pt>
                <c:pt idx="4">
                  <c:v>-6.2116640162629579</c:v>
                </c:pt>
                <c:pt idx="5">
                  <c:v>-26.273620946222195</c:v>
                </c:pt>
                <c:pt idx="6">
                  <c:v>34.218805127271523</c:v>
                </c:pt>
                <c:pt idx="7">
                  <c:v>106.50180796250484</c:v>
                </c:pt>
                <c:pt idx="8">
                  <c:v>41.032403018585839</c:v>
                </c:pt>
                <c:pt idx="9">
                  <c:v>78.607610636083734</c:v>
                </c:pt>
                <c:pt idx="10">
                  <c:v>-72.235566985931129</c:v>
                </c:pt>
                <c:pt idx="11">
                  <c:v>27.500345019960491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55-CA46-9776-2EB770198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54336"/>
        <c:axId val="189750592"/>
      </c:lineChart>
      <c:catAx>
        <c:axId val="17025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89750592"/>
        <c:crosses val="autoZero"/>
        <c:auto val="1"/>
        <c:lblAlgn val="ctr"/>
        <c:lblOffset val="100"/>
        <c:noMultiLvlLbl val="0"/>
      </c:catAx>
      <c:valAx>
        <c:axId val="18975059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DO"/>
          </a:p>
        </c:txPr>
        <c:crossAx val="1702543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'Posición Sectorial en ME'!$C$3</c:f>
              <c:strCache>
                <c:ptCount val="1"/>
                <c:pt idx="0">
                  <c:v>Activos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'Posición Sectorial en ME'!$B$74:$B$85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ME'!$C$74:$C$85</c:f>
              <c:numCache>
                <c:formatCode>_(* #,##0.00_);_(* \(#,##0.00\);_(* "-"??_);_(@_)</c:formatCode>
                <c:ptCount val="12"/>
                <c:pt idx="0">
                  <c:v>6341.0098635769436</c:v>
                </c:pt>
                <c:pt idx="1">
                  <c:v>8001.5520178785446</c:v>
                </c:pt>
                <c:pt idx="2">
                  <c:v>8750.0612875589268</c:v>
                </c:pt>
                <c:pt idx="3">
                  <c:v>8626.8358082223494</c:v>
                </c:pt>
                <c:pt idx="4">
                  <c:v>8309.9360109991303</c:v>
                </c:pt>
                <c:pt idx="5">
                  <c:v>8450.4425637100685</c:v>
                </c:pt>
                <c:pt idx="6">
                  <c:v>9152.0634215415121</c:v>
                </c:pt>
                <c:pt idx="7">
                  <c:v>10701.394669483272</c:v>
                </c:pt>
                <c:pt idx="8">
                  <c:v>11132.44555607174</c:v>
                </c:pt>
                <c:pt idx="9">
                  <c:v>11403.765403776189</c:v>
                </c:pt>
                <c:pt idx="10">
                  <c:v>11754.808767848715</c:v>
                </c:pt>
                <c:pt idx="11">
                  <c:v>12520.494498842698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0-2242-BC40-1A7C92F5332D}"/>
            </c:ext>
          </c:extLst>
        </c:ser>
        <c:ser>
          <c:idx val="1"/>
          <c:order val="1"/>
          <c:tx>
            <c:strRef>
              <c:f>'Posición Sectorial en ME'!$D$3</c:f>
              <c:strCache>
                <c:ptCount val="1"/>
                <c:pt idx="0">
                  <c:v>Pasivos</c:v>
                </c:pt>
              </c:strCache>
            </c:strRef>
          </c:tx>
          <c:invertIfNegative val="0"/>
          <c:cat>
            <c:numRef>
              <c:f>'Posición Sectorial en ME'!$B$74:$B$85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ME'!$D$74:$D$85</c:f>
              <c:numCache>
                <c:formatCode>_(* #,##0.00_);_(* \(#,##0.00\);_(* "-"??_);_(@_)</c:formatCode>
                <c:ptCount val="12"/>
                <c:pt idx="0">
                  <c:v>-3729.1905069164268</c:v>
                </c:pt>
                <c:pt idx="1">
                  <c:v>-4465.1638810569984</c:v>
                </c:pt>
                <c:pt idx="2">
                  <c:v>-5181.9190487433707</c:v>
                </c:pt>
                <c:pt idx="3">
                  <c:v>-5256.1361821463406</c:v>
                </c:pt>
                <c:pt idx="4">
                  <c:v>-4563.2106926178822</c:v>
                </c:pt>
                <c:pt idx="5">
                  <c:v>-5362.4048837886294</c:v>
                </c:pt>
                <c:pt idx="6">
                  <c:v>-5549.2015706897218</c:v>
                </c:pt>
                <c:pt idx="7">
                  <c:v>-6488.3775598839584</c:v>
                </c:pt>
                <c:pt idx="8">
                  <c:v>-6898.799819112397</c:v>
                </c:pt>
                <c:pt idx="9">
                  <c:v>-7257.5419015752195</c:v>
                </c:pt>
                <c:pt idx="10">
                  <c:v>-7220.3894729992462</c:v>
                </c:pt>
                <c:pt idx="11">
                  <c:v>-7293.3719301286428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0-2242-BC40-1A7C92F53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70255872"/>
        <c:axId val="189818560"/>
      </c:barChart>
      <c:lineChart>
        <c:grouping val="standard"/>
        <c:varyColors val="0"/>
        <c:ser>
          <c:idx val="2"/>
          <c:order val="2"/>
          <c:tx>
            <c:strRef>
              <c:f>'Posición Sectorial en ME'!$E$3</c:f>
              <c:strCache>
                <c:ptCount val="1"/>
                <c:pt idx="0">
                  <c:v>Posición Neta</c:v>
                </c:pt>
              </c:strCache>
            </c:strRef>
          </c:tx>
          <c:spPr>
            <a:ln w="60325">
              <a:noFill/>
            </a:ln>
          </c:spPr>
          <c:marker>
            <c:symbol val="circle"/>
            <c:size val="9"/>
            <c:spPr>
              <a:ln>
                <a:solidFill>
                  <a:schemeClr val="tx2"/>
                </a:solidFill>
              </a:ln>
            </c:spPr>
          </c:marker>
          <c:cat>
            <c:numRef>
              <c:f>'Posición Sectorial en ME'!$B$74:$B$85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ME'!$E$74:$E$85</c:f>
              <c:numCache>
                <c:formatCode>_(* #,##0.00_);_(* \(#,##0.00\);_(* "-"??_);_(@_)</c:formatCode>
                <c:ptCount val="12"/>
                <c:pt idx="0">
                  <c:v>2611.8193566605169</c:v>
                </c:pt>
                <c:pt idx="1">
                  <c:v>3536.3881368215461</c:v>
                </c:pt>
                <c:pt idx="2">
                  <c:v>3568.1422388155561</c:v>
                </c:pt>
                <c:pt idx="3">
                  <c:v>3370.6996260760088</c:v>
                </c:pt>
                <c:pt idx="4">
                  <c:v>3746.7253183812481</c:v>
                </c:pt>
                <c:pt idx="5">
                  <c:v>3088.0376799214391</c:v>
                </c:pt>
                <c:pt idx="6">
                  <c:v>3602.8618508517902</c:v>
                </c:pt>
                <c:pt idx="7">
                  <c:v>4213.0171095993137</c:v>
                </c:pt>
                <c:pt idx="8">
                  <c:v>4233.6457369593427</c:v>
                </c:pt>
                <c:pt idx="9">
                  <c:v>4146.22350220097</c:v>
                </c:pt>
                <c:pt idx="10">
                  <c:v>4534.4192948494692</c:v>
                </c:pt>
                <c:pt idx="11">
                  <c:v>5227.122568714055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40-2242-BC40-1A7C92F53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55872"/>
        <c:axId val="189818560"/>
      </c:lineChart>
      <c:catAx>
        <c:axId val="17025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89818560"/>
        <c:crosses val="autoZero"/>
        <c:auto val="1"/>
        <c:lblAlgn val="ctr"/>
        <c:lblOffset val="100"/>
        <c:noMultiLvlLbl val="0"/>
      </c:catAx>
      <c:valAx>
        <c:axId val="18981856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DO"/>
          </a:p>
        </c:txPr>
        <c:crossAx val="1702558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'Posición Sectorial en ME'!$C$3</c:f>
              <c:strCache>
                <c:ptCount val="1"/>
                <c:pt idx="0">
                  <c:v>Activos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'Posición Sectorial en ME'!$B$93:$B$104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ME'!$C$93:$C$104</c:f>
              <c:numCache>
                <c:formatCode>_(* #,##0.00_);_(* \(#,##0.00\);_(* "-"??_);_(@_)</c:formatCode>
                <c:ptCount val="12"/>
                <c:pt idx="0">
                  <c:v>11440.49081019939</c:v>
                </c:pt>
                <c:pt idx="1">
                  <c:v>13335.251482016462</c:v>
                </c:pt>
                <c:pt idx="2">
                  <c:v>15454.739909690234</c:v>
                </c:pt>
                <c:pt idx="3">
                  <c:v>15233.370740537619</c:v>
                </c:pt>
                <c:pt idx="4">
                  <c:v>15854.51978360373</c:v>
                </c:pt>
                <c:pt idx="5">
                  <c:v>17247.599255834124</c:v>
                </c:pt>
                <c:pt idx="6">
                  <c:v>18113.000229071506</c:v>
                </c:pt>
                <c:pt idx="7">
                  <c:v>20001.023957610007</c:v>
                </c:pt>
                <c:pt idx="8">
                  <c:v>23275.579946955673</c:v>
                </c:pt>
                <c:pt idx="9">
                  <c:v>23631.407833178579</c:v>
                </c:pt>
                <c:pt idx="10">
                  <c:v>25045.95940196242</c:v>
                </c:pt>
                <c:pt idx="11">
                  <c:v>27203.732916600609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1-E342-B82C-3B18E999615D}"/>
            </c:ext>
          </c:extLst>
        </c:ser>
        <c:ser>
          <c:idx val="1"/>
          <c:order val="1"/>
          <c:tx>
            <c:strRef>
              <c:f>'Posición Sectorial en ME'!$D$3</c:f>
              <c:strCache>
                <c:ptCount val="1"/>
                <c:pt idx="0">
                  <c:v>Pasivos</c:v>
                </c:pt>
              </c:strCache>
            </c:strRef>
          </c:tx>
          <c:invertIfNegative val="0"/>
          <c:cat>
            <c:numRef>
              <c:f>'Posición Sectorial en ME'!$B$93:$B$104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ME'!$D$93:$D$104</c:f>
              <c:numCache>
                <c:formatCode>_(* #,##0.00_);_(* \(#,##0.00\);_(* "-"??_);_(@_)</c:formatCode>
                <c:ptCount val="12"/>
                <c:pt idx="0">
                  <c:v>-13816.909523104034</c:v>
                </c:pt>
                <c:pt idx="1">
                  <c:v>-15420.627415800358</c:v>
                </c:pt>
                <c:pt idx="2">
                  <c:v>-16705.984576067178</c:v>
                </c:pt>
                <c:pt idx="3">
                  <c:v>-17506.635781155983</c:v>
                </c:pt>
                <c:pt idx="4">
                  <c:v>-19029.222884370647</c:v>
                </c:pt>
                <c:pt idx="5">
                  <c:v>-23098.850008187223</c:v>
                </c:pt>
                <c:pt idx="6">
                  <c:v>-25546.776409742532</c:v>
                </c:pt>
                <c:pt idx="7">
                  <c:v>-28967.244548601368</c:v>
                </c:pt>
                <c:pt idx="8">
                  <c:v>-33175.798685623362</c:v>
                </c:pt>
                <c:pt idx="9">
                  <c:v>-34238.80257377278</c:v>
                </c:pt>
                <c:pt idx="10">
                  <c:v>-35227.267529738194</c:v>
                </c:pt>
                <c:pt idx="11">
                  <c:v>-37957.109403439725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1-E342-B82C-3B18E9996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70257408"/>
        <c:axId val="189820864"/>
      </c:barChart>
      <c:lineChart>
        <c:grouping val="standard"/>
        <c:varyColors val="0"/>
        <c:ser>
          <c:idx val="2"/>
          <c:order val="2"/>
          <c:tx>
            <c:strRef>
              <c:f>'Posición Sectorial en ME'!$E$3</c:f>
              <c:strCache>
                <c:ptCount val="1"/>
                <c:pt idx="0">
                  <c:v>Posición Neta</c:v>
                </c:pt>
              </c:strCache>
            </c:strRef>
          </c:tx>
          <c:spPr>
            <a:ln w="60325">
              <a:noFill/>
            </a:ln>
          </c:spPr>
          <c:marker>
            <c:symbol val="circle"/>
            <c:size val="9"/>
            <c:spPr>
              <a:ln>
                <a:solidFill>
                  <a:schemeClr val="tx2"/>
                </a:solidFill>
              </a:ln>
            </c:spPr>
          </c:marker>
          <c:cat>
            <c:numRef>
              <c:f>'Posición Sectorial en ME'!$B$93:$B$104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'Posición Sectorial en ME'!$E$93:$E$104</c:f>
              <c:numCache>
                <c:formatCode>_(* #,##0.00_);_(* \(#,##0.00\);_(* "-"??_);_(@_)</c:formatCode>
                <c:ptCount val="12"/>
                <c:pt idx="0">
                  <c:v>-2376.4187129046441</c:v>
                </c:pt>
                <c:pt idx="1">
                  <c:v>-2085.3759337838965</c:v>
                </c:pt>
                <c:pt idx="2">
                  <c:v>-1251.2446663769442</c:v>
                </c:pt>
                <c:pt idx="3">
                  <c:v>-2273.2650406183639</c:v>
                </c:pt>
                <c:pt idx="4">
                  <c:v>-3174.7031007669175</c:v>
                </c:pt>
                <c:pt idx="5">
                  <c:v>-5851.2507523530985</c:v>
                </c:pt>
                <c:pt idx="6">
                  <c:v>-7433.7761806710259</c:v>
                </c:pt>
                <c:pt idx="7">
                  <c:v>-8966.220590991361</c:v>
                </c:pt>
                <c:pt idx="8">
                  <c:v>-9900.2187386676887</c:v>
                </c:pt>
                <c:pt idx="9">
                  <c:v>-10607.394740594202</c:v>
                </c:pt>
                <c:pt idx="10">
                  <c:v>-10181.308127775774</c:v>
                </c:pt>
                <c:pt idx="11">
                  <c:v>-10753.376486839115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1-E342-B82C-3B18E9996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57408"/>
        <c:axId val="189820864"/>
      </c:lineChart>
      <c:catAx>
        <c:axId val="17025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89820864"/>
        <c:crosses val="autoZero"/>
        <c:auto val="1"/>
        <c:lblAlgn val="ctr"/>
        <c:lblOffset val="100"/>
        <c:noMultiLvlLbl val="0"/>
      </c:catAx>
      <c:valAx>
        <c:axId val="18982086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DO"/>
          </a:p>
        </c:txPr>
        <c:crossAx val="1702574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3" l="0.70000000000000095" r="0.70000000000000095" t="0.750000000000003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CR" sz="1600"/>
              <a:t>República</a:t>
            </a:r>
            <a:r>
              <a:rPr lang="es-CR" sz="1600" baseline="0"/>
              <a:t> Dominicana</a:t>
            </a:r>
            <a:endParaRPr lang="es-CR" sz="16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1803149606299"/>
          <c:y val="0.14134259259259299"/>
          <c:w val="0.857641294838146"/>
          <c:h val="0.75125801983085505"/>
        </c:manualLayout>
      </c:layout>
      <c:lineChart>
        <c:grouping val="standard"/>
        <c:varyColors val="0"/>
        <c:ser>
          <c:idx val="0"/>
          <c:order val="0"/>
          <c:tx>
            <c:strRef>
              <c:f>'Posición Sectorial en ME'!$O$3</c:f>
              <c:strCache>
                <c:ptCount val="1"/>
                <c:pt idx="0">
                  <c:v>BC</c:v>
                </c:pt>
              </c:strCache>
            </c:strRef>
          </c:tx>
          <c:marker>
            <c:symbol val="none"/>
          </c:marker>
          <c:cat>
            <c:strRef>
              <c:f>'Posición Sectorial en ME'!$M$4:$M$15</c:f>
              <c:strCach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strCache>
            </c:strRef>
          </c:cat>
          <c:val>
            <c:numRef>
              <c:f>'Posición Sectorial en ME'!$O$4:$O$15</c:f>
              <c:numCache>
                <c:formatCode>0.0%</c:formatCode>
                <c:ptCount val="12"/>
                <c:pt idx="0">
                  <c:v>8.2414227479827174E-3</c:v>
                </c:pt>
                <c:pt idx="1">
                  <c:v>2.1220729617180561E-2</c:v>
                </c:pt>
                <c:pt idx="2">
                  <c:v>3.4993323049702714E-2</c:v>
                </c:pt>
                <c:pt idx="3">
                  <c:v>2.9308018401765473E-2</c:v>
                </c:pt>
                <c:pt idx="4">
                  <c:v>3.3576012552222624E-2</c:v>
                </c:pt>
                <c:pt idx="5">
                  <c:v>3.0877399398464379E-2</c:v>
                </c:pt>
                <c:pt idx="6">
                  <c:v>3.2689212572959037E-2</c:v>
                </c:pt>
                <c:pt idx="7">
                  <c:v>2.6519117861700667E-2</c:v>
                </c:pt>
                <c:pt idx="8">
                  <c:v>3.6107691660065416E-2</c:v>
                </c:pt>
                <c:pt idx="9">
                  <c:v>4.426090520932454E-2</c:v>
                </c:pt>
                <c:pt idx="10">
                  <c:v>4.7567371107588297E-2</c:v>
                </c:pt>
                <c:pt idx="11">
                  <c:v>4.6122956402017162E-2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E-F545-BFC1-6F58C179C449}"/>
            </c:ext>
          </c:extLst>
        </c:ser>
        <c:ser>
          <c:idx val="1"/>
          <c:order val="1"/>
          <c:tx>
            <c:strRef>
              <c:f>'Posición Sectorial en ME'!$P$3</c:f>
              <c:strCache>
                <c:ptCount val="1"/>
                <c:pt idx="0">
                  <c:v>SPub</c:v>
                </c:pt>
              </c:strCache>
            </c:strRef>
          </c:tx>
          <c:marker>
            <c:symbol val="none"/>
          </c:marker>
          <c:cat>
            <c:strRef>
              <c:f>'Posición Sectorial en ME'!$M$4:$M$15</c:f>
              <c:strCach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strCache>
            </c:strRef>
          </c:cat>
          <c:val>
            <c:numRef>
              <c:f>'Posición Sectorial en ME'!$P$4:$P$15</c:f>
              <c:numCache>
                <c:formatCode>0.0%</c:formatCode>
                <c:ptCount val="12"/>
                <c:pt idx="0">
                  <c:v>-0.1633851906057204</c:v>
                </c:pt>
                <c:pt idx="1">
                  <c:v>-0.17666143571583889</c:v>
                </c:pt>
                <c:pt idx="2">
                  <c:v>-0.15432719492018382</c:v>
                </c:pt>
                <c:pt idx="3">
                  <c:v>-0.15409511084121083</c:v>
                </c:pt>
                <c:pt idx="4">
                  <c:v>-0.18503644871917665</c:v>
                </c:pt>
                <c:pt idx="5">
                  <c:v>-0.19185663280194973</c:v>
                </c:pt>
                <c:pt idx="6">
                  <c:v>-0.21203005606882203</c:v>
                </c:pt>
                <c:pt idx="7">
                  <c:v>-0.24069577071980994</c:v>
                </c:pt>
                <c:pt idx="8">
                  <c:v>-0.26900773564846819</c:v>
                </c:pt>
                <c:pt idx="9">
                  <c:v>-0.2736077291749538</c:v>
                </c:pt>
                <c:pt idx="10">
                  <c:v>-0.26813222746309617</c:v>
                </c:pt>
                <c:pt idx="11">
                  <c:v>-0.26868217903389013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9E-F545-BFC1-6F58C179C449}"/>
            </c:ext>
          </c:extLst>
        </c:ser>
        <c:ser>
          <c:idx val="2"/>
          <c:order val="2"/>
          <c:tx>
            <c:strRef>
              <c:f>'Posición Sectorial en ME'!$Q$3</c:f>
              <c:strCache>
                <c:ptCount val="1"/>
                <c:pt idx="0">
                  <c:v>OSD</c:v>
                </c:pt>
              </c:strCache>
            </c:strRef>
          </c:tx>
          <c:marker>
            <c:symbol val="none"/>
          </c:marker>
          <c:cat>
            <c:strRef>
              <c:f>'Posición Sectorial en ME'!$M$4:$M$15</c:f>
              <c:strCach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strCache>
            </c:strRef>
          </c:cat>
          <c:val>
            <c:numRef>
              <c:f>'Posición Sectorial en ME'!$Q$4:$Q$15</c:f>
              <c:numCache>
                <c:formatCode>0.0%</c:formatCode>
                <c:ptCount val="12"/>
                <c:pt idx="0">
                  <c:v>1.6767001761807211E-2</c:v>
                </c:pt>
                <c:pt idx="1">
                  <c:v>8.2268017695132471E-3</c:v>
                </c:pt>
                <c:pt idx="2">
                  <c:v>1.0202789013296821E-2</c:v>
                </c:pt>
                <c:pt idx="3">
                  <c:v>7.6403242443475851E-3</c:v>
                </c:pt>
                <c:pt idx="4">
                  <c:v>7.8001585959124667E-3</c:v>
                </c:pt>
                <c:pt idx="5">
                  <c:v>-4.6778703681360691E-3</c:v>
                </c:pt>
                <c:pt idx="6">
                  <c:v>-1.0540431348446169E-2</c:v>
                </c:pt>
                <c:pt idx="7">
                  <c:v>-5.3135091863841096E-3</c:v>
                </c:pt>
                <c:pt idx="8">
                  <c:v>1.6321174751063078E-3</c:v>
                </c:pt>
                <c:pt idx="9">
                  <c:v>-2.1972299829274553E-3</c:v>
                </c:pt>
                <c:pt idx="10">
                  <c:v>-1.929215768246458E-3</c:v>
                </c:pt>
                <c:pt idx="11">
                  <c:v>-2.0925555884330803E-3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9E-F545-BFC1-6F58C179C449}"/>
            </c:ext>
          </c:extLst>
        </c:ser>
        <c:ser>
          <c:idx val="3"/>
          <c:order val="3"/>
          <c:tx>
            <c:strRef>
              <c:f>'Posición Sectorial en ME'!$R$3</c:f>
              <c:strCache>
                <c:ptCount val="1"/>
                <c:pt idx="0">
                  <c:v>OSF</c:v>
                </c:pt>
              </c:strCache>
            </c:strRef>
          </c:tx>
          <c:marker>
            <c:symbol val="none"/>
          </c:marker>
          <c:cat>
            <c:strRef>
              <c:f>'Posición Sectorial en ME'!$M$4:$M$15</c:f>
              <c:strCach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strCache>
            </c:strRef>
          </c:cat>
          <c:val>
            <c:numRef>
              <c:f>'Posición Sectorial en ME'!$R$4:$R$15</c:f>
              <c:numCache>
                <c:formatCode>0.0%</c:formatCode>
                <c:ptCount val="12"/>
                <c:pt idx="0">
                  <c:v>-3.8776744785312705E-4</c:v>
                </c:pt>
                <c:pt idx="1">
                  <c:v>-7.362102989888125E-4</c:v>
                </c:pt>
                <c:pt idx="2">
                  <c:v>-4.7068248315884387E-4</c:v>
                </c:pt>
                <c:pt idx="3">
                  <c:v>-2.6484836109169673E-4</c:v>
                </c:pt>
                <c:pt idx="4">
                  <c:v>-1.2904431030193593E-4</c:v>
                </c:pt>
                <c:pt idx="5">
                  <c:v>-4.8832096026730717E-4</c:v>
                </c:pt>
                <c:pt idx="6">
                  <c:v>5.8690220974633904E-4</c:v>
                </c:pt>
                <c:pt idx="7">
                  <c:v>1.7594879888072831E-3</c:v>
                </c:pt>
                <c:pt idx="8">
                  <c:v>6.6945663500819579E-4</c:v>
                </c:pt>
                <c:pt idx="9">
                  <c:v>1.227133743630118E-3</c:v>
                </c:pt>
                <c:pt idx="10">
                  <c:v>-1.0975514316743113E-3</c:v>
                </c:pt>
                <c:pt idx="11">
                  <c:v>3.859321365407394E-4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9E-F545-BFC1-6F58C179C449}"/>
            </c:ext>
          </c:extLst>
        </c:ser>
        <c:ser>
          <c:idx val="4"/>
          <c:order val="4"/>
          <c:tx>
            <c:strRef>
              <c:f>'Posición Sectorial en ME'!$S$3</c:f>
              <c:strCache>
                <c:ptCount val="1"/>
                <c:pt idx="0">
                  <c:v>SPriv</c:v>
                </c:pt>
              </c:strCache>
            </c:strRef>
          </c:tx>
          <c:marker>
            <c:symbol val="none"/>
          </c:marker>
          <c:cat>
            <c:strRef>
              <c:f>'Posición Sectorial en ME'!$M$4:$M$15</c:f>
              <c:strCach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strCache>
            </c:strRef>
          </c:cat>
          <c:val>
            <c:numRef>
              <c:f>'Posición Sectorial en ME'!$S$4:$S$15</c:f>
              <c:numCache>
                <c:formatCode>0.0%</c:formatCode>
                <c:ptCount val="12"/>
                <c:pt idx="0">
                  <c:v>7.2656495073663452E-2</c:v>
                </c:pt>
                <c:pt idx="1">
                  <c:v>9.3068478797967938E-2</c:v>
                </c:pt>
                <c:pt idx="2">
                  <c:v>8.1146149095910461E-2</c:v>
                </c:pt>
                <c:pt idx="3">
                  <c:v>7.0120795468182978E-2</c:v>
                </c:pt>
                <c:pt idx="4">
                  <c:v>7.7836403149857972E-2</c:v>
                </c:pt>
                <c:pt idx="5">
                  <c:v>5.7394202660052025E-2</c:v>
                </c:pt>
                <c:pt idx="6">
                  <c:v>6.1794313793571816E-2</c:v>
                </c:pt>
                <c:pt idx="7">
                  <c:v>6.9602132985285212E-2</c:v>
                </c:pt>
                <c:pt idx="8">
                  <c:v>6.9073269425575942E-2</c:v>
                </c:pt>
                <c:pt idx="9">
                  <c:v>6.4726185251170743E-2</c:v>
                </c:pt>
                <c:pt idx="10">
                  <c:v>6.8896232099111901E-2</c:v>
                </c:pt>
                <c:pt idx="11">
                  <c:v>7.3355973513783618E-2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9E-F545-BFC1-6F58C179C449}"/>
            </c:ext>
          </c:extLst>
        </c:ser>
        <c:ser>
          <c:idx val="5"/>
          <c:order val="5"/>
          <c:tx>
            <c:strRef>
              <c:f>'Posición Sectorial en ME'!$T$3</c:f>
              <c:strCache>
                <c:ptCount val="1"/>
                <c:pt idx="0">
                  <c:v>TOT</c:v>
                </c:pt>
              </c:strCache>
            </c:strRef>
          </c:tx>
          <c:marker>
            <c:symbol val="none"/>
          </c:marker>
          <c:cat>
            <c:strRef>
              <c:f>'Posición Sectorial en ME'!$M$4:$M$15</c:f>
              <c:strCach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strCache>
            </c:strRef>
          </c:cat>
          <c:val>
            <c:numRef>
              <c:f>'Posición Sectorial en ME'!$T$4:$T$15</c:f>
              <c:numCache>
                <c:formatCode>0.0%</c:formatCode>
                <c:ptCount val="12"/>
                <c:pt idx="0">
                  <c:v>-6.6108038470120145E-2</c:v>
                </c:pt>
                <c:pt idx="1">
                  <c:v>-5.488163583016599E-2</c:v>
                </c:pt>
                <c:pt idx="2">
                  <c:v>-2.8455616244432672E-2</c:v>
                </c:pt>
                <c:pt idx="3">
                  <c:v>-4.7290821088006488E-2</c:v>
                </c:pt>
                <c:pt idx="4">
                  <c:v>-6.5952918731485552E-2</c:v>
                </c:pt>
                <c:pt idx="5">
                  <c:v>-0.10875122207183671</c:v>
                </c:pt>
                <c:pt idx="6">
                  <c:v>-0.12750005884099103</c:v>
                </c:pt>
                <c:pt idx="7">
                  <c:v>-0.14812854107040085</c:v>
                </c:pt>
                <c:pt idx="8">
                  <c:v>-0.16152520045271235</c:v>
                </c:pt>
                <c:pt idx="9">
                  <c:v>-0.16559073495375584</c:v>
                </c:pt>
                <c:pt idx="10">
                  <c:v>-0.15469539145631672</c:v>
                </c:pt>
                <c:pt idx="11">
                  <c:v>-0.1509098725699817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9E-F545-BFC1-6F58C179C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77696"/>
        <c:axId val="189823168"/>
      </c:lineChart>
      <c:catAx>
        <c:axId val="190877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/>
          <a:lstStyle/>
          <a:p>
            <a:pPr>
              <a:defRPr sz="1000" b="1"/>
            </a:pPr>
            <a:endParaRPr lang="es-DO"/>
          </a:p>
        </c:txPr>
        <c:crossAx val="189823168"/>
        <c:crosses val="autoZero"/>
        <c:auto val="1"/>
        <c:lblAlgn val="ctr"/>
        <c:lblOffset val="100"/>
        <c:noMultiLvlLbl val="0"/>
      </c:catAx>
      <c:valAx>
        <c:axId val="189823168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lgDash"/>
            </a:ln>
          </c:spPr>
        </c:majorGridlines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es-DO"/>
          </a:p>
        </c:txPr>
        <c:crossAx val="1908776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393701</xdr:colOff>
      <xdr:row>0</xdr:row>
      <xdr:rowOff>66675</xdr:rowOff>
    </xdr:from>
    <xdr:to>
      <xdr:col>12</xdr:col>
      <xdr:colOff>165101</xdr:colOff>
      <xdr:row>17</xdr:row>
      <xdr:rowOff>55033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D64053F8-C639-0A46-AB75-D4301A1F5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394759</xdr:colOff>
      <xdr:row>17</xdr:row>
      <xdr:rowOff>132290</xdr:rowOff>
    </xdr:from>
    <xdr:to>
      <xdr:col>12</xdr:col>
      <xdr:colOff>166159</xdr:colOff>
      <xdr:row>34</xdr:row>
      <xdr:rowOff>120648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AF7736E0-DE34-7A40-A29E-C41E991BB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365125</xdr:colOff>
      <xdr:row>35</xdr:row>
      <xdr:rowOff>52916</xdr:rowOff>
    </xdr:from>
    <xdr:to>
      <xdr:col>12</xdr:col>
      <xdr:colOff>136525</xdr:colOff>
      <xdr:row>52</xdr:row>
      <xdr:rowOff>41274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A2CB0977-8680-C74B-8674-7B6331F7C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364067</xdr:colOff>
      <xdr:row>52</xdr:row>
      <xdr:rowOff>133349</xdr:rowOff>
    </xdr:from>
    <xdr:to>
      <xdr:col>12</xdr:col>
      <xdr:colOff>135467</xdr:colOff>
      <xdr:row>69</xdr:row>
      <xdr:rowOff>121707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D59FBB21-E3AC-3845-92D6-220ABE86E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361950</xdr:colOff>
      <xdr:row>70</xdr:row>
      <xdr:rowOff>55033</xdr:rowOff>
    </xdr:from>
    <xdr:to>
      <xdr:col>12</xdr:col>
      <xdr:colOff>133350</xdr:colOff>
      <xdr:row>87</xdr:row>
      <xdr:rowOff>43391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5B0E1EC2-09EB-7A4A-B0EA-03D75170A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352425</xdr:colOff>
      <xdr:row>88</xdr:row>
      <xdr:rowOff>28575</xdr:rowOff>
    </xdr:from>
    <xdr:to>
      <xdr:col>12</xdr:col>
      <xdr:colOff>123825</xdr:colOff>
      <xdr:row>105</xdr:row>
      <xdr:rowOff>16933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C5614957-051E-204A-82E0-F17C742A3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333375</xdr:colOff>
      <xdr:row>105</xdr:row>
      <xdr:rowOff>123825</xdr:rowOff>
    </xdr:from>
    <xdr:to>
      <xdr:col>12</xdr:col>
      <xdr:colOff>104775</xdr:colOff>
      <xdr:row>122</xdr:row>
      <xdr:rowOff>112183</xdr:rowOff>
    </xdr:to>
    <xdr:graphicFrame macro="">
      <xdr:nvGraphicFramePr>
        <xdr:cNvPr id="8" name="6 Gráfico">
          <a:extLst>
            <a:ext uri="{FF2B5EF4-FFF2-40B4-BE49-F238E27FC236}">
              <a16:creationId xmlns:a16="http://schemas.microsoft.com/office/drawing/2014/main" id="{E82A0FB0-0F55-B140-BCFD-3AE0D2041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4536</xdr:colOff>
      <xdr:row>16</xdr:row>
      <xdr:rowOff>129720</xdr:rowOff>
    </xdr:from>
    <xdr:to>
      <xdr:col>27</xdr:col>
      <xdr:colOff>598715</xdr:colOff>
      <xdr:row>33</xdr:row>
      <xdr:rowOff>172357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DD8B060-F699-8F4E-89E4-D1BCD134C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393701</xdr:colOff>
      <xdr:row>0</xdr:row>
      <xdr:rowOff>66675</xdr:rowOff>
    </xdr:from>
    <xdr:to>
      <xdr:col>12</xdr:col>
      <xdr:colOff>165101</xdr:colOff>
      <xdr:row>17</xdr:row>
      <xdr:rowOff>55033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F9CB617E-E99D-6F41-9E99-021728AD5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394759</xdr:colOff>
      <xdr:row>17</xdr:row>
      <xdr:rowOff>132290</xdr:rowOff>
    </xdr:from>
    <xdr:to>
      <xdr:col>12</xdr:col>
      <xdr:colOff>166159</xdr:colOff>
      <xdr:row>34</xdr:row>
      <xdr:rowOff>120648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F8EBFBEF-473C-DC41-BDFC-127476900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365125</xdr:colOff>
      <xdr:row>35</xdr:row>
      <xdr:rowOff>52916</xdr:rowOff>
    </xdr:from>
    <xdr:to>
      <xdr:col>12</xdr:col>
      <xdr:colOff>136525</xdr:colOff>
      <xdr:row>52</xdr:row>
      <xdr:rowOff>41274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BC19F842-A1B8-2746-A3D5-24A64BC40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364067</xdr:colOff>
      <xdr:row>52</xdr:row>
      <xdr:rowOff>133349</xdr:rowOff>
    </xdr:from>
    <xdr:to>
      <xdr:col>12</xdr:col>
      <xdr:colOff>135467</xdr:colOff>
      <xdr:row>69</xdr:row>
      <xdr:rowOff>121707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8EEBA5CB-21A8-BE4E-AEAF-E0603CC29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361950</xdr:colOff>
      <xdr:row>70</xdr:row>
      <xdr:rowOff>55033</xdr:rowOff>
    </xdr:from>
    <xdr:to>
      <xdr:col>12</xdr:col>
      <xdr:colOff>133350</xdr:colOff>
      <xdr:row>87</xdr:row>
      <xdr:rowOff>43391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DCC1D987-A30D-6C4C-BC52-3EBC9F713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352425</xdr:colOff>
      <xdr:row>88</xdr:row>
      <xdr:rowOff>28575</xdr:rowOff>
    </xdr:from>
    <xdr:to>
      <xdr:col>12</xdr:col>
      <xdr:colOff>123825</xdr:colOff>
      <xdr:row>105</xdr:row>
      <xdr:rowOff>16933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8253AC4C-1C93-924A-BF2B-63B7F4ECD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152400</xdr:colOff>
      <xdr:row>19</xdr:row>
      <xdr:rowOff>38100</xdr:rowOff>
    </xdr:from>
    <xdr:to>
      <xdr:col>23</xdr:col>
      <xdr:colOff>431800</xdr:colOff>
      <xdr:row>46</xdr:row>
      <xdr:rowOff>101600</xdr:rowOff>
    </xdr:to>
    <xdr:graphicFrame macro="">
      <xdr:nvGraphicFramePr>
        <xdr:cNvPr id="8" name="8 Gráfico">
          <a:extLst>
            <a:ext uri="{FF2B5EF4-FFF2-40B4-BE49-F238E27FC236}">
              <a16:creationId xmlns:a16="http://schemas.microsoft.com/office/drawing/2014/main" id="{74ED354A-9D9D-C94C-92B1-332D3C1C4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0E34-E33A-664E-AF6E-898213CF8B14}">
  <dimension ref="C1:I19"/>
  <sheetViews>
    <sheetView zoomScale="160" zoomScaleNormal="160" workbookViewId="0">
      <selection activeCell="D9" sqref="D9"/>
    </sheetView>
  </sheetViews>
  <sheetFormatPr baseColWidth="10" defaultRowHeight="16" x14ac:dyDescent="0.2"/>
  <cols>
    <col min="3" max="3" width="12.6640625" bestFit="1" customWidth="1"/>
    <col min="4" max="4" width="11.5" bestFit="1" customWidth="1"/>
    <col min="5" max="6" width="9" bestFit="1" customWidth="1"/>
    <col min="7" max="7" width="12.6640625" bestFit="1" customWidth="1"/>
    <col min="8" max="8" width="11.6640625" bestFit="1" customWidth="1"/>
    <col min="9" max="9" width="10.5" bestFit="1" customWidth="1"/>
  </cols>
  <sheetData>
    <row r="1" spans="3:9" ht="17" thickBot="1" x14ac:dyDescent="0.25"/>
    <row r="2" spans="3:9" ht="17" thickBot="1" x14ac:dyDescent="0.25">
      <c r="C2" s="1"/>
      <c r="D2" s="2" t="s">
        <v>0</v>
      </c>
      <c r="E2" s="3" t="s">
        <v>1</v>
      </c>
      <c r="F2" s="3" t="s">
        <v>2</v>
      </c>
      <c r="G2" s="4" t="s">
        <v>3</v>
      </c>
      <c r="H2" s="3" t="s">
        <v>4</v>
      </c>
      <c r="I2" s="5" t="s">
        <v>5</v>
      </c>
    </row>
    <row r="3" spans="3:9" x14ac:dyDescent="0.2">
      <c r="C3" s="6" t="s">
        <v>0</v>
      </c>
      <c r="D3" s="7"/>
      <c r="E3" s="8">
        <v>406053.56004376989</v>
      </c>
      <c r="F3" s="8">
        <v>252555.74853874001</v>
      </c>
      <c r="G3" s="8">
        <v>-551485.05572330009</v>
      </c>
      <c r="H3" s="8">
        <v>148722.90499536126</v>
      </c>
      <c r="I3" s="9">
        <v>-314635.65935559123</v>
      </c>
    </row>
    <row r="4" spans="3:9" x14ac:dyDescent="0.2">
      <c r="C4" s="10" t="s">
        <v>1</v>
      </c>
      <c r="D4" s="8">
        <v>-406571.91384713002</v>
      </c>
      <c r="E4" s="7"/>
      <c r="F4" s="8">
        <v>85549.435465910108</v>
      </c>
      <c r="G4" s="11">
        <v>-131470.70178111998</v>
      </c>
      <c r="H4" s="8">
        <v>286510.1439901999</v>
      </c>
      <c r="I4" s="9">
        <v>51278.204173049999</v>
      </c>
    </row>
    <row r="5" spans="3:9" x14ac:dyDescent="0.2">
      <c r="C5" s="10" t="s">
        <v>2</v>
      </c>
      <c r="D5" s="8">
        <v>-252519.06806848</v>
      </c>
      <c r="E5" s="8">
        <v>-84741.217238410012</v>
      </c>
      <c r="F5" s="7"/>
      <c r="G5" s="8">
        <v>-131886.24995891002</v>
      </c>
      <c r="H5" s="8">
        <v>460683.52292049007</v>
      </c>
      <c r="I5" s="9">
        <v>1163.4243844799994</v>
      </c>
    </row>
    <row r="6" spans="3:9" x14ac:dyDescent="0.2">
      <c r="C6" s="10" t="s">
        <v>3</v>
      </c>
      <c r="D6" s="8">
        <v>551485.05572330009</v>
      </c>
      <c r="E6" s="8">
        <v>131470.70178111998</v>
      </c>
      <c r="F6" s="8">
        <v>131886.24995891002</v>
      </c>
      <c r="G6" s="12"/>
      <c r="H6" s="13"/>
      <c r="I6" s="9">
        <v>1034249.25001</v>
      </c>
    </row>
    <row r="7" spans="3:9" x14ac:dyDescent="0.2">
      <c r="C7" s="14" t="s">
        <v>4</v>
      </c>
      <c r="D7" s="8">
        <v>-148722.90499536126</v>
      </c>
      <c r="E7" s="8">
        <v>-286510.1439901999</v>
      </c>
      <c r="F7" s="8">
        <v>-460683.52292049007</v>
      </c>
      <c r="G7" s="13"/>
      <c r="H7" s="7"/>
      <c r="I7" s="9">
        <v>-300558.57463440008</v>
      </c>
    </row>
    <row r="8" spans="3:9" ht="17" thickBot="1" x14ac:dyDescent="0.25">
      <c r="C8" s="15" t="s">
        <v>5</v>
      </c>
      <c r="D8" s="8">
        <v>314635.65935559123</v>
      </c>
      <c r="E8" s="8">
        <v>-51278.204173049991</v>
      </c>
      <c r="F8" s="8">
        <v>-1163.4243844799994</v>
      </c>
      <c r="G8" s="8">
        <v>-1034249.25001</v>
      </c>
      <c r="H8" s="8">
        <v>300558.57463440008</v>
      </c>
      <c r="I8" s="16"/>
    </row>
    <row r="9" spans="3:9" ht="17" thickBot="1" x14ac:dyDescent="0.25">
      <c r="C9" s="17" t="s">
        <v>6</v>
      </c>
      <c r="D9" s="18">
        <v>58306.82816792003</v>
      </c>
      <c r="E9" s="19">
        <v>114994.69642322995</v>
      </c>
      <c r="F9" s="19">
        <v>8144.4866585900827</v>
      </c>
      <c r="G9" s="20">
        <v>-1849091.25747333</v>
      </c>
      <c r="H9" s="21">
        <v>1196475.1465404513</v>
      </c>
      <c r="I9" s="22">
        <v>471496.64457753871</v>
      </c>
    </row>
    <row r="10" spans="3:9" x14ac:dyDescent="0.2">
      <c r="C10" s="23"/>
      <c r="D10" s="24"/>
      <c r="E10" s="24"/>
      <c r="F10" s="25"/>
      <c r="G10" s="24"/>
      <c r="H10" s="24"/>
      <c r="I10" s="26">
        <v>326.54489440016914</v>
      </c>
    </row>
    <row r="11" spans="3:9" ht="17" thickBot="1" x14ac:dyDescent="0.25">
      <c r="E11" s="27"/>
      <c r="F11" s="28" t="s">
        <v>7</v>
      </c>
      <c r="G11" s="29" t="s">
        <v>8</v>
      </c>
      <c r="H11" s="29" t="s">
        <v>9</v>
      </c>
    </row>
    <row r="12" spans="3:9" ht="17" thickBot="1" x14ac:dyDescent="0.25">
      <c r="E12" s="27"/>
      <c r="F12" s="30">
        <v>326.54489440016914</v>
      </c>
      <c r="G12" s="31">
        <v>6.7757743738752341</v>
      </c>
      <c r="H12" s="32">
        <v>8.6880441126433648E-5</v>
      </c>
    </row>
    <row r="13" spans="3:9" x14ac:dyDescent="0.2">
      <c r="E13" s="33" t="s">
        <v>10</v>
      </c>
      <c r="F13" s="11">
        <v>-518.35380336013623</v>
      </c>
      <c r="G13" s="11">
        <v>-10.755790329718762</v>
      </c>
      <c r="H13" s="34">
        <v>-1.3791306453655566E-4</v>
      </c>
    </row>
    <row r="14" spans="3:9" x14ac:dyDescent="0.2">
      <c r="E14" s="35" t="s">
        <v>11</v>
      </c>
      <c r="F14" s="11">
        <v>36.680470260005677</v>
      </c>
      <c r="G14" s="11">
        <v>0.76111614259344051</v>
      </c>
      <c r="H14" s="34">
        <v>9.7591954171207914E-6</v>
      </c>
    </row>
    <row r="15" spans="3:9" x14ac:dyDescent="0.2">
      <c r="E15" s="36" t="s">
        <v>12</v>
      </c>
      <c r="F15" s="11">
        <v>0</v>
      </c>
      <c r="G15" s="11">
        <v>0</v>
      </c>
      <c r="H15" s="37">
        <v>0</v>
      </c>
    </row>
    <row r="16" spans="3:9" x14ac:dyDescent="0.2">
      <c r="E16" s="36" t="s">
        <v>13</v>
      </c>
      <c r="F16" s="11">
        <v>808.21822750009596</v>
      </c>
      <c r="G16" s="11">
        <v>16.770448560996329</v>
      </c>
      <c r="H16" s="37">
        <v>2.1503431024581432E-4</v>
      </c>
    </row>
    <row r="17" spans="5:8" x14ac:dyDescent="0.2">
      <c r="E17" s="36" t="s">
        <v>14</v>
      </c>
      <c r="F17" s="11">
        <v>0</v>
      </c>
      <c r="G17" s="11">
        <v>0</v>
      </c>
      <c r="H17" s="37">
        <v>0</v>
      </c>
    </row>
    <row r="18" spans="5:8" ht="17" thickBot="1" x14ac:dyDescent="0.25">
      <c r="E18" s="38" t="s">
        <v>15</v>
      </c>
      <c r="F18" s="39">
        <v>0</v>
      </c>
      <c r="G18" s="39">
        <v>0</v>
      </c>
      <c r="H18" s="40">
        <v>0</v>
      </c>
    </row>
    <row r="19" spans="5:8" ht="17" thickTop="1" x14ac:dyDescent="0.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1A48-A1AA-454B-B040-95243BE5F20B}">
  <sheetPr published="0"/>
  <dimension ref="B2:AE134"/>
  <sheetViews>
    <sheetView tabSelected="1" zoomScale="140" zoomScaleNormal="140" workbookViewId="0">
      <selection activeCell="E16" sqref="E16"/>
    </sheetView>
  </sheetViews>
  <sheetFormatPr baseColWidth="10" defaultColWidth="10" defaultRowHeight="13" x14ac:dyDescent="0.15"/>
  <cols>
    <col min="1" max="1" width="3.33203125" style="41" customWidth="1"/>
    <col min="2" max="2" width="4.33203125" style="41" bestFit="1" customWidth="1"/>
    <col min="3" max="5" width="7.83203125" style="41" customWidth="1"/>
    <col min="6" max="12" width="10" style="41"/>
    <col min="13" max="13" width="10" style="41" customWidth="1"/>
    <col min="14" max="28" width="10" style="41"/>
    <col min="29" max="29" width="13.33203125" style="41" bestFit="1" customWidth="1"/>
    <col min="30" max="16384" width="10" style="41"/>
  </cols>
  <sheetData>
    <row r="2" spans="2:31" ht="16" x14ac:dyDescent="0.2">
      <c r="B2" s="58" t="s">
        <v>0</v>
      </c>
      <c r="C2" s="59"/>
      <c r="D2" s="59"/>
      <c r="E2" s="59"/>
      <c r="O2" s="60" t="s">
        <v>36</v>
      </c>
      <c r="P2" s="60"/>
      <c r="Q2" s="60"/>
      <c r="R2" s="60"/>
      <c r="S2" s="60"/>
      <c r="T2" s="60"/>
      <c r="U2" s="42"/>
      <c r="W2" s="60" t="s">
        <v>42</v>
      </c>
      <c r="X2" s="60"/>
      <c r="Y2" s="60"/>
      <c r="Z2" s="60"/>
      <c r="AA2" s="60"/>
      <c r="AB2" s="60"/>
    </row>
    <row r="3" spans="2:31" ht="16" x14ac:dyDescent="0.2">
      <c r="B3" s="24"/>
      <c r="C3" s="43" t="s">
        <v>43</v>
      </c>
      <c r="D3" s="43" t="s">
        <v>44</v>
      </c>
      <c r="E3" s="44" t="s">
        <v>45</v>
      </c>
      <c r="O3" s="45" t="s">
        <v>37</v>
      </c>
      <c r="P3" s="45" t="s">
        <v>38</v>
      </c>
      <c r="Q3" s="45" t="s">
        <v>1</v>
      </c>
      <c r="R3" s="45" t="s">
        <v>2</v>
      </c>
      <c r="S3" s="45" t="s">
        <v>39</v>
      </c>
      <c r="T3" s="45" t="s">
        <v>40</v>
      </c>
      <c r="U3" s="45" t="s">
        <v>41</v>
      </c>
      <c r="W3" s="45" t="s">
        <v>37</v>
      </c>
      <c r="X3" s="45" t="s">
        <v>38</v>
      </c>
      <c r="Y3" s="45" t="s">
        <v>1</v>
      </c>
      <c r="Z3" s="45" t="s">
        <v>2</v>
      </c>
      <c r="AA3" s="45" t="s">
        <v>39</v>
      </c>
      <c r="AB3" s="45" t="s">
        <v>40</v>
      </c>
    </row>
    <row r="4" spans="2:31" ht="16" x14ac:dyDescent="0.2">
      <c r="B4" s="24">
        <v>2005</v>
      </c>
      <c r="C4" s="46">
        <v>5.5014696369083942E-3</v>
      </c>
      <c r="D4" s="46">
        <v>9.4884110192725475E-3</v>
      </c>
      <c r="E4" s="46">
        <f>+C4+D4</f>
        <v>1.4989880656180942E-2</v>
      </c>
      <c r="M4" s="47" t="s">
        <v>16</v>
      </c>
      <c r="N4" s="48">
        <v>1</v>
      </c>
      <c r="O4" s="49">
        <f t="shared" ref="O4:O16" si="0">+E4/N4</f>
        <v>1.4989880656180942E-2</v>
      </c>
      <c r="P4" s="49">
        <f t="shared" ref="P4:P16" si="1">+E22/N4</f>
        <v>-0.28176200085244513</v>
      </c>
      <c r="Q4" s="49">
        <f t="shared" ref="Q4:Q16" si="2">+E39/N4</f>
        <v>-7.0178966535630355E-2</v>
      </c>
      <c r="R4" s="49">
        <f t="shared" ref="R4:R16" si="3">+E57/N4</f>
        <v>-1.6028983891682835E-2</v>
      </c>
      <c r="S4" s="49">
        <f>+E74/N4</f>
        <v>0.27317126856752905</v>
      </c>
      <c r="T4" s="50">
        <f>+SUM(O4:S4)</f>
        <v>-7.9808802056048345E-2</v>
      </c>
      <c r="U4" s="50">
        <f>+E110</f>
        <v>8.093706288664182E-2</v>
      </c>
      <c r="V4" s="50">
        <f>+Q4+O4+R4</f>
        <v>-7.121806977113225E-2</v>
      </c>
      <c r="W4" s="49">
        <f>+D4/$N4</f>
        <v>9.4884110192725475E-3</v>
      </c>
      <c r="X4" s="49">
        <f>+D22/N4</f>
        <v>-0.18810657945058415</v>
      </c>
      <c r="Y4" s="49">
        <f>+D39/N4</f>
        <v>1.9303973250957833E-2</v>
      </c>
      <c r="Z4" s="49">
        <f>+D57/N4</f>
        <v>7.700321565945466E-4</v>
      </c>
      <c r="AA4" s="49">
        <f>+D74/N4</f>
        <v>8.3649960639067503E-2</v>
      </c>
      <c r="AB4" s="50">
        <f>+SUM(W4:AA4)</f>
        <v>-7.4894202384691702E-2</v>
      </c>
      <c r="AC4" s="51"/>
    </row>
    <row r="5" spans="2:31" ht="16" x14ac:dyDescent="0.2">
      <c r="B5" s="24">
        <v>2006</v>
      </c>
      <c r="C5" s="46">
        <v>-9.1104807929917406E-3</v>
      </c>
      <c r="D5" s="46">
        <v>2.1420980065519655E-2</v>
      </c>
      <c r="E5" s="46">
        <f t="shared" ref="E5:E16" si="4">+C5+D5</f>
        <v>1.2310499272527914E-2</v>
      </c>
      <c r="M5" s="47" t="s">
        <v>17</v>
      </c>
      <c r="N5" s="48">
        <v>1</v>
      </c>
      <c r="O5" s="49">
        <f t="shared" si="0"/>
        <v>1.2310499272527914E-2</v>
      </c>
      <c r="P5" s="49">
        <f t="shared" si="1"/>
        <v>-0.34586755094829957</v>
      </c>
      <c r="Q5" s="49">
        <f t="shared" si="2"/>
        <v>5.3943689859822482E-3</v>
      </c>
      <c r="R5" s="49">
        <f t="shared" si="3"/>
        <v>-8.6741255069646295E-3</v>
      </c>
      <c r="S5" s="49">
        <f t="shared" ref="S5:S16" si="5">+E75/N5</f>
        <v>0.27616633543320551</v>
      </c>
      <c r="T5" s="50">
        <f t="shared" ref="T5:T13" si="6">+SUM(O5:S5)</f>
        <v>-6.0670472763548533E-2</v>
      </c>
      <c r="U5" s="50">
        <f t="shared" ref="U5:U16" si="7">+E111</f>
        <v>6.311629903957662E-2</v>
      </c>
      <c r="V5" s="50">
        <f t="shared" ref="V5:V16" si="8">+Q5+O5+R5</f>
        <v>9.0307427515455337E-3</v>
      </c>
      <c r="W5" s="49">
        <f t="shared" ref="W5:W16" si="9">+D5/$N5</f>
        <v>2.1420980065519655E-2</v>
      </c>
      <c r="X5" s="49">
        <f t="shared" ref="X5:X16" si="10">+D23/N5</f>
        <v>-0.17832850995619309</v>
      </c>
      <c r="Y5" s="49">
        <f t="shared" ref="Y5:Y16" si="11">+D40/N5</f>
        <v>8.3044343850010895E-3</v>
      </c>
      <c r="Z5" s="49">
        <f t="shared" ref="Z5:Z16" si="12">+D58/N5</f>
        <v>1.2012040432791678E-3</v>
      </c>
      <c r="AA5" s="49">
        <f t="shared" ref="AA5:AA16" si="13">+D75/N5</f>
        <v>9.3946724029952855E-2</v>
      </c>
      <c r="AB5" s="50">
        <f t="shared" ref="AB5:AB13" si="14">+SUM(W5:AA5)</f>
        <v>-5.3455167432440331E-2</v>
      </c>
      <c r="AC5" s="51"/>
    </row>
    <row r="6" spans="2:31" ht="16" x14ac:dyDescent="0.2">
      <c r="B6" s="24">
        <v>2007</v>
      </c>
      <c r="C6" s="46">
        <v>-2.1357574003365326E-2</v>
      </c>
      <c r="D6" s="46">
        <v>3.5808793903178107E-2</v>
      </c>
      <c r="E6" s="46">
        <f t="shared" si="4"/>
        <v>1.4451219899812781E-2</v>
      </c>
      <c r="M6" s="47" t="s">
        <v>18</v>
      </c>
      <c r="N6" s="48">
        <v>1</v>
      </c>
      <c r="O6" s="49">
        <f t="shared" si="0"/>
        <v>1.4451219899812781E-2</v>
      </c>
      <c r="P6" s="49">
        <f t="shared" si="1"/>
        <v>-0.32429169939858121</v>
      </c>
      <c r="Q6" s="49">
        <f t="shared" si="2"/>
        <v>1.5358340821299013E-2</v>
      </c>
      <c r="R6" s="49">
        <f t="shared" si="3"/>
        <v>-4.1869910933664614E-3</v>
      </c>
      <c r="S6" s="49">
        <f t="shared" si="5"/>
        <v>0.25981683943249312</v>
      </c>
      <c r="T6" s="50">
        <f t="shared" si="6"/>
        <v>-3.8852290338342754E-2</v>
      </c>
      <c r="U6" s="50">
        <f t="shared" si="7"/>
        <v>4.1039006902750086E-2</v>
      </c>
      <c r="V6" s="50">
        <f t="shared" si="8"/>
        <v>2.5622569627745333E-2</v>
      </c>
      <c r="W6" s="49">
        <f t="shared" si="9"/>
        <v>3.5808793903178107E-2</v>
      </c>
      <c r="X6" s="49">
        <f t="shared" si="10"/>
        <v>-0.157923576126315</v>
      </c>
      <c r="Y6" s="49">
        <f t="shared" si="11"/>
        <v>1.0440550858683312E-2</v>
      </c>
      <c r="Z6" s="49">
        <f t="shared" si="12"/>
        <v>1.1690838535978851E-3</v>
      </c>
      <c r="AA6" s="49">
        <f t="shared" si="13"/>
        <v>8.3037147540542242E-2</v>
      </c>
      <c r="AB6" s="50">
        <f t="shared" si="14"/>
        <v>-2.7467999970313448E-2</v>
      </c>
      <c r="AC6" s="51"/>
    </row>
    <row r="7" spans="2:31" ht="16" x14ac:dyDescent="0.2">
      <c r="B7" s="24">
        <v>2008</v>
      </c>
      <c r="C7" s="46">
        <v>-1.2137694131699185E-2</v>
      </c>
      <c r="D7" s="46">
        <v>2.9914773414143718E-2</v>
      </c>
      <c r="E7" s="46">
        <f t="shared" si="4"/>
        <v>1.7777079282444534E-2</v>
      </c>
      <c r="M7" s="47" t="s">
        <v>19</v>
      </c>
      <c r="N7" s="48">
        <v>1</v>
      </c>
      <c r="O7" s="49">
        <f t="shared" si="0"/>
        <v>1.7777079282444534E-2</v>
      </c>
      <c r="P7" s="49">
        <f t="shared" si="1"/>
        <v>-0.3358295568295554</v>
      </c>
      <c r="Q7" s="49">
        <f t="shared" si="2"/>
        <v>1.6816101789300625E-2</v>
      </c>
      <c r="R7" s="49">
        <f t="shared" si="3"/>
        <v>-7.9314888024622637E-3</v>
      </c>
      <c r="S7" s="49">
        <f t="shared" si="5"/>
        <v>0.25927273020549141</v>
      </c>
      <c r="T7" s="50">
        <f t="shared" si="6"/>
        <v>-4.9895134354781101E-2</v>
      </c>
      <c r="U7" s="50">
        <f t="shared" si="7"/>
        <v>5.0311203987524158E-2</v>
      </c>
      <c r="V7" s="50">
        <f t="shared" si="8"/>
        <v>2.6661692269282895E-2</v>
      </c>
      <c r="W7" s="49">
        <f t="shared" si="9"/>
        <v>2.9914773414143718E-2</v>
      </c>
      <c r="X7" s="49">
        <f t="shared" si="10"/>
        <v>-0.15728529516565681</v>
      </c>
      <c r="Y7" s="49">
        <f t="shared" si="11"/>
        <v>7.7984995589629701E-3</v>
      </c>
      <c r="Z7" s="49">
        <f t="shared" si="12"/>
        <v>8.95010038868702E-4</v>
      </c>
      <c r="AA7" s="49">
        <f t="shared" si="13"/>
        <v>7.1572485020817686E-2</v>
      </c>
      <c r="AB7" s="50">
        <f t="shared" si="14"/>
        <v>-4.7104527132863727E-2</v>
      </c>
      <c r="AC7" s="51"/>
    </row>
    <row r="8" spans="2:31" ht="16" x14ac:dyDescent="0.2">
      <c r="B8" s="24">
        <v>2009</v>
      </c>
      <c r="C8" s="46">
        <v>-1.595499291653156E-2</v>
      </c>
      <c r="D8" s="46">
        <v>3.3594516340879163E-2</v>
      </c>
      <c r="E8" s="46">
        <f t="shared" si="4"/>
        <v>1.7639523424347603E-2</v>
      </c>
      <c r="M8" s="47" t="s">
        <v>20</v>
      </c>
      <c r="N8" s="48">
        <v>1</v>
      </c>
      <c r="O8" s="49">
        <f t="shared" si="0"/>
        <v>1.7639523424347603E-2</v>
      </c>
      <c r="P8" s="49">
        <f t="shared" si="1"/>
        <v>-0.36159453424860832</v>
      </c>
      <c r="Q8" s="49">
        <f t="shared" si="2"/>
        <v>1.9119974113075075E-2</v>
      </c>
      <c r="R8" s="49">
        <f t="shared" si="3"/>
        <v>-5.7981484921896054E-3</v>
      </c>
      <c r="S8" s="49">
        <f t="shared" si="5"/>
        <v>0.2632107555908042</v>
      </c>
      <c r="T8" s="50">
        <f t="shared" si="6"/>
        <v>-6.7422429612571055E-2</v>
      </c>
      <c r="U8" s="50">
        <f t="shared" si="7"/>
        <v>6.7614545247733748E-2</v>
      </c>
      <c r="V8" s="50">
        <f t="shared" si="8"/>
        <v>3.0961349045233073E-2</v>
      </c>
      <c r="W8" s="49">
        <f t="shared" si="9"/>
        <v>3.3594516340879163E-2</v>
      </c>
      <c r="X8" s="49">
        <f t="shared" si="10"/>
        <v>-0.18513842257135854</v>
      </c>
      <c r="Y8" s="49">
        <f t="shared" si="11"/>
        <v>7.8044572744980119E-3</v>
      </c>
      <c r="Z8" s="49">
        <f t="shared" si="12"/>
        <v>1.1087293338487214E-3</v>
      </c>
      <c r="AA8" s="49">
        <f t="shared" si="13"/>
        <v>7.7879298903230393E-2</v>
      </c>
      <c r="AB8" s="50">
        <f t="shared" si="14"/>
        <v>-6.475142071890222E-2</v>
      </c>
      <c r="AC8" s="51"/>
    </row>
    <row r="9" spans="2:31" ht="16" x14ac:dyDescent="0.2">
      <c r="B9" s="24">
        <v>2010</v>
      </c>
      <c r="C9" s="46">
        <v>-1.1470013895691598E-2</v>
      </c>
      <c r="D9" s="46">
        <v>3.1383275889759435E-2</v>
      </c>
      <c r="E9" s="46">
        <f t="shared" si="4"/>
        <v>1.9913261994067837E-2</v>
      </c>
      <c r="M9" s="47" t="s">
        <v>21</v>
      </c>
      <c r="N9" s="48">
        <v>1</v>
      </c>
      <c r="O9" s="49">
        <f t="shared" si="0"/>
        <v>1.9913261994067837E-2</v>
      </c>
      <c r="P9" s="49">
        <f t="shared" si="1"/>
        <v>-0.36076218821751327</v>
      </c>
      <c r="Q9" s="49">
        <f t="shared" si="2"/>
        <v>2.4359528087117673E-2</v>
      </c>
      <c r="R9" s="49">
        <f t="shared" si="3"/>
        <v>-5.8858330157025081E-4</v>
      </c>
      <c r="S9" s="49">
        <f t="shared" si="5"/>
        <v>0.20660174758081151</v>
      </c>
      <c r="T9" s="50">
        <f t="shared" si="6"/>
        <v>-0.11047623385708649</v>
      </c>
      <c r="U9" s="50">
        <f t="shared" si="7"/>
        <v>0.11223212107381668</v>
      </c>
      <c r="V9" s="50">
        <f t="shared" si="8"/>
        <v>4.3684206779615257E-2</v>
      </c>
      <c r="W9" s="49">
        <f t="shared" si="9"/>
        <v>3.1383275889759435E-2</v>
      </c>
      <c r="X9" s="49">
        <f t="shared" si="10"/>
        <v>-0.19499989493296851</v>
      </c>
      <c r="Y9" s="49">
        <f t="shared" si="11"/>
        <v>-4.7545097449834591E-3</v>
      </c>
      <c r="Z9" s="49">
        <f t="shared" si="12"/>
        <v>9.3191154516219447E-4</v>
      </c>
      <c r="AA9" s="49">
        <f t="shared" si="13"/>
        <v>5.833451429341413E-2</v>
      </c>
      <c r="AB9" s="50">
        <f t="shared" si="14"/>
        <v>-0.10910470294961619</v>
      </c>
      <c r="AC9" s="51"/>
    </row>
    <row r="10" spans="2:31" ht="16" x14ac:dyDescent="0.2">
      <c r="B10" s="24">
        <v>2011</v>
      </c>
      <c r="C10" s="46">
        <v>-1.9468597239580113E-2</v>
      </c>
      <c r="D10" s="46">
        <v>3.3439770064560247E-2</v>
      </c>
      <c r="E10" s="46">
        <f t="shared" si="4"/>
        <v>1.3971172824980133E-2</v>
      </c>
      <c r="M10" s="47" t="s">
        <v>22</v>
      </c>
      <c r="N10" s="48">
        <v>1</v>
      </c>
      <c r="O10" s="49">
        <f t="shared" si="0"/>
        <v>1.3971172824980133E-2</v>
      </c>
      <c r="P10" s="49">
        <f t="shared" si="1"/>
        <v>-0.36770194079129481</v>
      </c>
      <c r="Q10" s="49">
        <f t="shared" si="2"/>
        <v>2.0073726942154188E-2</v>
      </c>
      <c r="R10" s="49">
        <f t="shared" si="3"/>
        <v>-3.442607494445896E-3</v>
      </c>
      <c r="S10" s="49">
        <f t="shared" si="5"/>
        <v>0.20457129444380562</v>
      </c>
      <c r="T10" s="50">
        <f t="shared" si="6"/>
        <v>-0.13252835407480079</v>
      </c>
      <c r="U10" s="50">
        <f t="shared" si="7"/>
        <v>0.133504861212145</v>
      </c>
      <c r="V10" s="50">
        <f t="shared" si="8"/>
        <v>3.0602292272688424E-2</v>
      </c>
      <c r="W10" s="49">
        <f t="shared" si="9"/>
        <v>3.3439770064560247E-2</v>
      </c>
      <c r="X10" s="49">
        <f t="shared" si="10"/>
        <v>-0.21689835158594079</v>
      </c>
      <c r="Y10" s="49">
        <f t="shared" si="11"/>
        <v>-1.0782443899088912E-2</v>
      </c>
      <c r="Z10" s="49">
        <f t="shared" si="12"/>
        <v>1.1868651387679492E-3</v>
      </c>
      <c r="AA10" s="49">
        <f t="shared" si="13"/>
        <v>6.3213136136037407E-2</v>
      </c>
      <c r="AB10" s="50">
        <f t="shared" si="14"/>
        <v>-0.12984102414566409</v>
      </c>
      <c r="AC10" s="51"/>
    </row>
    <row r="11" spans="2:31" ht="16" x14ac:dyDescent="0.2">
      <c r="B11" s="24">
        <v>2012</v>
      </c>
      <c r="C11" s="46">
        <v>-1.0758667831282844E-2</v>
      </c>
      <c r="D11" s="46">
        <v>2.7139511940224709E-2</v>
      </c>
      <c r="E11" s="46">
        <f t="shared" si="4"/>
        <v>1.6380844108941865E-2</v>
      </c>
      <c r="M11" s="47" t="s">
        <v>23</v>
      </c>
      <c r="N11" s="48">
        <v>1</v>
      </c>
      <c r="O11" s="49">
        <f t="shared" si="0"/>
        <v>1.6380844108941865E-2</v>
      </c>
      <c r="P11" s="49">
        <f t="shared" si="1"/>
        <v>-0.41830113627142351</v>
      </c>
      <c r="Q11" s="49">
        <f t="shared" si="2"/>
        <v>2.3207576095010271E-2</v>
      </c>
      <c r="R11" s="49">
        <f t="shared" si="3"/>
        <v>-6.29302586121062E-3</v>
      </c>
      <c r="S11" s="49">
        <f t="shared" si="5"/>
        <v>0.23134826904113892</v>
      </c>
      <c r="T11" s="50">
        <f t="shared" si="6"/>
        <v>-0.15365747288754306</v>
      </c>
      <c r="U11" s="50">
        <f t="shared" si="7"/>
        <v>0.15297508565975582</v>
      </c>
      <c r="V11" s="50">
        <f t="shared" si="8"/>
        <v>3.3295394342741515E-2</v>
      </c>
      <c r="W11" s="49">
        <f t="shared" si="9"/>
        <v>2.7139511940224709E-2</v>
      </c>
      <c r="X11" s="49">
        <f t="shared" si="10"/>
        <v>-0.24632666054273319</v>
      </c>
      <c r="Y11" s="49">
        <f t="shared" si="11"/>
        <v>-5.4378145894750912E-3</v>
      </c>
      <c r="Z11" s="49">
        <f t="shared" si="12"/>
        <v>9.2008054261014821E-4</v>
      </c>
      <c r="AA11" s="49">
        <f t="shared" si="13"/>
        <v>7.1230420599598249E-2</v>
      </c>
      <c r="AB11" s="50">
        <f t="shared" si="14"/>
        <v>-0.15247446204977519</v>
      </c>
      <c r="AC11" s="51"/>
    </row>
    <row r="12" spans="2:31" ht="16" x14ac:dyDescent="0.2">
      <c r="B12" s="24">
        <v>2013</v>
      </c>
      <c r="C12" s="46">
        <v>-2.1095683597621005E-2</v>
      </c>
      <c r="D12" s="46">
        <v>3.6121534095072488E-2</v>
      </c>
      <c r="E12" s="46">
        <f t="shared" si="4"/>
        <v>1.5025850497451483E-2</v>
      </c>
      <c r="M12" s="47" t="s">
        <v>24</v>
      </c>
      <c r="N12" s="48">
        <v>1</v>
      </c>
      <c r="O12" s="49">
        <f t="shared" si="0"/>
        <v>1.5025850497451483E-2</v>
      </c>
      <c r="P12" s="49">
        <f t="shared" si="1"/>
        <v>-0.43966708611602029</v>
      </c>
      <c r="Q12" s="49">
        <f t="shared" si="2"/>
        <v>2.6280466717687693E-2</v>
      </c>
      <c r="R12" s="49">
        <f t="shared" si="3"/>
        <v>5.2850833167133278E-5</v>
      </c>
      <c r="S12" s="49">
        <f t="shared" si="5"/>
        <v>0.23585855070602299</v>
      </c>
      <c r="T12" s="50">
        <f t="shared" si="6"/>
        <v>-0.16244936736169099</v>
      </c>
      <c r="U12" s="50">
        <f t="shared" si="7"/>
        <v>0.16263698607230259</v>
      </c>
      <c r="V12" s="50">
        <f t="shared" si="8"/>
        <v>4.1359168048306312E-2</v>
      </c>
      <c r="W12" s="49">
        <f t="shared" si="9"/>
        <v>3.6121534095072488E-2</v>
      </c>
      <c r="X12" s="49">
        <f t="shared" si="10"/>
        <v>-0.26911086387201039</v>
      </c>
      <c r="Y12" s="49">
        <f t="shared" si="11"/>
        <v>1.6327431722648403E-3</v>
      </c>
      <c r="Z12" s="49">
        <f t="shared" si="12"/>
        <v>1.0019791864822076E-3</v>
      </c>
      <c r="AA12" s="49">
        <f t="shared" si="13"/>
        <v>6.9099749718244646E-2</v>
      </c>
      <c r="AB12" s="50">
        <f t="shared" si="14"/>
        <v>-0.16125485769994621</v>
      </c>
      <c r="AC12" s="51"/>
      <c r="AD12" s="52"/>
      <c r="AE12" s="52"/>
    </row>
    <row r="13" spans="2:31" ht="16" x14ac:dyDescent="0.2">
      <c r="B13" s="24">
        <v>2014</v>
      </c>
      <c r="C13" s="46">
        <v>-2.9233780573684674E-2</v>
      </c>
      <c r="D13" s="46">
        <v>4.2943269769195588E-2</v>
      </c>
      <c r="E13" s="46">
        <f t="shared" si="4"/>
        <v>1.3709489195510915E-2</v>
      </c>
      <c r="M13" s="47" t="s">
        <v>25</v>
      </c>
      <c r="N13" s="48">
        <v>1</v>
      </c>
      <c r="O13" s="49">
        <f t="shared" si="0"/>
        <v>1.3709489195510915E-2</v>
      </c>
      <c r="P13" s="49">
        <f t="shared" si="1"/>
        <v>-0.43663998035166984</v>
      </c>
      <c r="Q13" s="49">
        <f t="shared" si="2"/>
        <v>2.6026507958935179E-2</v>
      </c>
      <c r="R13" s="49">
        <f t="shared" si="3"/>
        <v>-3.7786881697420157E-4</v>
      </c>
      <c r="S13" s="49">
        <f t="shared" si="5"/>
        <v>0.236721798183893</v>
      </c>
      <c r="T13" s="50">
        <f t="shared" si="6"/>
        <v>-0.16056005383030497</v>
      </c>
      <c r="U13" s="50">
        <f t="shared" si="7"/>
        <v>0.15969355721525752</v>
      </c>
      <c r="V13" s="50">
        <f t="shared" si="8"/>
        <v>3.935812833747189E-2</v>
      </c>
      <c r="W13" s="49">
        <f t="shared" si="9"/>
        <v>4.2943269769195588E-2</v>
      </c>
      <c r="X13" s="49">
        <f t="shared" si="10"/>
        <v>-0.26546249945249045</v>
      </c>
      <c r="Y13" s="49">
        <f t="shared" si="11"/>
        <v>-2.1318190275498618E-3</v>
      </c>
      <c r="Z13" s="49">
        <f t="shared" si="12"/>
        <v>8.1372765121430469E-4</v>
      </c>
      <c r="AA13" s="49">
        <f t="shared" si="13"/>
        <v>6.2799303837698689E-2</v>
      </c>
      <c r="AB13" s="50">
        <f t="shared" si="14"/>
        <v>-0.16103801722193173</v>
      </c>
      <c r="AC13" s="51"/>
      <c r="AD13" s="52"/>
      <c r="AE13" s="52"/>
    </row>
    <row r="14" spans="2:31" ht="16" x14ac:dyDescent="0.2">
      <c r="B14" s="24">
        <v>2015</v>
      </c>
      <c r="C14" s="46">
        <v>-2.9820149511616784E-2</v>
      </c>
      <c r="D14" s="46">
        <v>4.4529231002719855E-2</v>
      </c>
      <c r="E14" s="46">
        <f t="shared" si="4"/>
        <v>1.470908149110307E-2</v>
      </c>
      <c r="M14" s="47" t="s">
        <v>26</v>
      </c>
      <c r="N14" s="48">
        <v>1</v>
      </c>
      <c r="O14" s="49">
        <f t="shared" si="0"/>
        <v>1.470908149110307E-2</v>
      </c>
      <c r="P14" s="49">
        <f t="shared" si="1"/>
        <v>-0.43984884557361204</v>
      </c>
      <c r="Q14" s="49">
        <f t="shared" si="2"/>
        <v>2.7137531097430046E-2</v>
      </c>
      <c r="R14" s="49">
        <f t="shared" si="3"/>
        <v>3.4445282375751211E-3</v>
      </c>
      <c r="S14" s="49">
        <f t="shared" si="5"/>
        <v>0.25509282931630539</v>
      </c>
      <c r="T14" s="50">
        <f>+SUM(O14:S14)</f>
        <v>-0.1394648754311984</v>
      </c>
      <c r="U14" s="50">
        <f t="shared" si="7"/>
        <v>0.14281768343509663</v>
      </c>
      <c r="V14" s="50">
        <f t="shared" si="8"/>
        <v>4.5291140826108238E-2</v>
      </c>
      <c r="W14" s="49">
        <f t="shared" si="9"/>
        <v>4.4529231002719855E-2</v>
      </c>
      <c r="X14" s="49">
        <f t="shared" si="10"/>
        <v>-0.25100655381969</v>
      </c>
      <c r="Y14" s="49">
        <f t="shared" si="11"/>
        <v>-1.8059962658863796E-3</v>
      </c>
      <c r="Z14" s="49">
        <f t="shared" si="12"/>
        <v>2.8399106555258469E-3</v>
      </c>
      <c r="AA14" s="49">
        <f t="shared" si="13"/>
        <v>6.449581221168102E-2</v>
      </c>
      <c r="AB14" s="50">
        <f>+SUM(W14:AA14)</f>
        <v>-0.14094759621564965</v>
      </c>
      <c r="AC14" s="51"/>
      <c r="AD14" s="52"/>
      <c r="AE14" s="52"/>
    </row>
    <row r="15" spans="2:31" ht="16" x14ac:dyDescent="0.2">
      <c r="B15" s="24">
        <v>2016</v>
      </c>
      <c r="C15" s="46">
        <v>-2.9549054462246496E-2</v>
      </c>
      <c r="D15" s="46">
        <v>4.4022287049390603E-2</v>
      </c>
      <c r="E15" s="46">
        <f t="shared" si="4"/>
        <v>1.4473232587144107E-2</v>
      </c>
      <c r="M15" s="47" t="s">
        <v>27</v>
      </c>
      <c r="N15" s="48">
        <v>1</v>
      </c>
      <c r="O15" s="49">
        <f t="shared" si="0"/>
        <v>1.4473232587144107E-2</v>
      </c>
      <c r="P15" s="49">
        <f t="shared" si="1"/>
        <v>-0.45896079463649486</v>
      </c>
      <c r="Q15" s="49">
        <f t="shared" si="2"/>
        <v>2.8777907266086131E-2</v>
      </c>
      <c r="R15" s="49">
        <f t="shared" si="3"/>
        <v>3.7654904355087894E-3</v>
      </c>
      <c r="S15" s="49">
        <f t="shared" si="5"/>
        <v>0.27438459290783179</v>
      </c>
      <c r="T15" s="50">
        <f>+SUM(O15:S15)</f>
        <v>-0.13755957143992403</v>
      </c>
      <c r="U15" s="50">
        <f t="shared" si="7"/>
        <v>0.13904351067706286</v>
      </c>
      <c r="V15" s="50">
        <f t="shared" si="8"/>
        <v>4.7016630288739029E-2</v>
      </c>
      <c r="W15" s="49">
        <f t="shared" si="9"/>
        <v>4.4022287049390603E-2</v>
      </c>
      <c r="X15" s="49">
        <f t="shared" si="10"/>
        <v>-0.25644505324832945</v>
      </c>
      <c r="Y15" s="49">
        <f t="shared" si="11"/>
        <v>-1.9972501757666832E-3</v>
      </c>
      <c r="Z15" s="49">
        <f t="shared" si="12"/>
        <v>1.830035963297887E-3</v>
      </c>
      <c r="AA15" s="49">
        <f t="shared" si="13"/>
        <v>7.0014976808165874E-2</v>
      </c>
      <c r="AB15" s="50">
        <f>+SUM(W15:AA15)</f>
        <v>-0.14257500360324177</v>
      </c>
      <c r="AC15" s="51"/>
      <c r="AD15" s="52"/>
      <c r="AE15" s="52"/>
    </row>
    <row r="16" spans="2:31" ht="16" x14ac:dyDescent="0.2">
      <c r="B16" s="24">
        <v>2017</v>
      </c>
      <c r="C16" s="46">
        <v>-3.9545625192030275E-2</v>
      </c>
      <c r="D16" s="46">
        <v>5.5058723203307736E-2</v>
      </c>
      <c r="E16" s="46">
        <f t="shared" si="4"/>
        <v>1.5513098011277461E-2</v>
      </c>
      <c r="M16" s="47" t="s">
        <v>28</v>
      </c>
      <c r="N16" s="48">
        <v>1</v>
      </c>
      <c r="O16" s="49">
        <f t="shared" si="0"/>
        <v>1.5513098011277461E-2</v>
      </c>
      <c r="P16" s="49">
        <f t="shared" si="1"/>
        <v>-0.49196869063720272</v>
      </c>
      <c r="Q16" s="49">
        <f t="shared" si="2"/>
        <v>3.0595456011653921E-2</v>
      </c>
      <c r="R16" s="49">
        <f t="shared" si="3"/>
        <v>2.8600853570249184E-3</v>
      </c>
      <c r="S16" s="49">
        <f t="shared" si="5"/>
        <v>0.31833383498215523</v>
      </c>
      <c r="T16" s="50">
        <f>+SUM(O16:S16)</f>
        <v>-0.12466621627509117</v>
      </c>
      <c r="U16" s="50">
        <f t="shared" si="7"/>
        <v>0.12544626228432207</v>
      </c>
      <c r="V16" s="50">
        <f t="shared" si="8"/>
        <v>4.8968639379956297E-2</v>
      </c>
      <c r="W16" s="49">
        <f t="shared" si="9"/>
        <v>5.5058723203307736E-2</v>
      </c>
      <c r="X16" s="49">
        <f t="shared" si="10"/>
        <v>-0.28809441963863763</v>
      </c>
      <c r="Y16" s="49">
        <f t="shared" si="11"/>
        <v>-3.662951236947468E-3</v>
      </c>
      <c r="Z16" s="49">
        <f t="shared" si="12"/>
        <v>1.5923212298581805E-3</v>
      </c>
      <c r="AA16" s="49">
        <f t="shared" si="13"/>
        <v>0.1048628358104476</v>
      </c>
      <c r="AB16" s="50">
        <f>+SUM(W16:AA16)</f>
        <v>-0.1302434906319716</v>
      </c>
      <c r="AC16" s="51"/>
      <c r="AD16" s="52"/>
      <c r="AE16" s="52"/>
    </row>
    <row r="17" spans="2:31" ht="16" x14ac:dyDescent="0.2">
      <c r="B17" s="24"/>
      <c r="C17" s="24"/>
      <c r="D17" s="53"/>
      <c r="E17" s="53"/>
      <c r="M17" s="47" t="s">
        <v>29</v>
      </c>
      <c r="N17" s="48">
        <v>1</v>
      </c>
      <c r="O17" s="49">
        <f ca="1">+AVERAGE($O$4:$O$16)+RANDBETWEEN(0,3)/1000</f>
        <v>1.5451094865060818E-2</v>
      </c>
      <c r="P17" s="49">
        <v>-0.45756876348134473</v>
      </c>
      <c r="Q17" s="49">
        <f ca="1">+AVERAGE($Q$5:$Q$16)+RANDBETWEEN(0,3)/1000</f>
        <v>2.392895715714434E-2</v>
      </c>
      <c r="R17" s="49">
        <f ca="1">+AVERAGE($R$5:$R$16)+RANDBETWEEN(0,3)/1000</f>
        <v>-2.2641570421589965E-3</v>
      </c>
      <c r="S17" s="50">
        <v>0.25441081790834907</v>
      </c>
      <c r="T17" s="50">
        <f ca="1">(+SUM(O17:R17))+0.254410817908349</f>
        <v>-0.16604205059294957</v>
      </c>
      <c r="U17" s="49">
        <v>0.16204205059294949</v>
      </c>
      <c r="AC17" s="51"/>
      <c r="AD17" s="52"/>
      <c r="AE17" s="52"/>
    </row>
    <row r="18" spans="2:31" ht="16" x14ac:dyDescent="0.2">
      <c r="B18" s="24"/>
      <c r="C18" s="24"/>
      <c r="D18" s="53"/>
      <c r="E18" s="53"/>
      <c r="M18" s="47" t="s">
        <v>30</v>
      </c>
      <c r="N18" s="48">
        <v>1</v>
      </c>
      <c r="O18" s="49">
        <f t="shared" ref="O18:O23" ca="1" si="15">+AVERAGE($O$4:$O$16)+RANDBETWEEN(0,3)/1000</f>
        <v>1.5451094865060818E-2</v>
      </c>
      <c r="P18" s="49">
        <v>-0.49188274978587637</v>
      </c>
      <c r="Q18" s="49">
        <f t="shared" ref="Q18:Q23" ca="1" si="16">+AVERAGE($Q$5:$Q$16)+RANDBETWEEN(0,3)/1000</f>
        <v>2.2928957157144339E-2</v>
      </c>
      <c r="R18" s="49">
        <f t="shared" ref="R18:R23" ca="1" si="17">+AVERAGE($R$5:$R$16)+RANDBETWEEN(0,3)/1000</f>
        <v>7.3584295784100357E-4</v>
      </c>
      <c r="S18" s="50">
        <v>0.28305068858649218</v>
      </c>
      <c r="T18" s="50">
        <f ca="1">(+SUM(O18:R18))+0.283050688586492</f>
        <v>-0.16971616621933822</v>
      </c>
      <c r="U18" s="49">
        <v>0.16571616621933805</v>
      </c>
      <c r="AC18" s="51"/>
      <c r="AD18" s="52"/>
      <c r="AE18" s="52"/>
    </row>
    <row r="19" spans="2:31" ht="16" x14ac:dyDescent="0.2">
      <c r="B19" s="24"/>
      <c r="C19" s="24"/>
      <c r="D19" s="53"/>
      <c r="E19" s="53"/>
      <c r="M19" s="47" t="s">
        <v>31</v>
      </c>
      <c r="N19" s="48">
        <v>1</v>
      </c>
      <c r="O19" s="49">
        <f t="shared" ca="1" si="15"/>
        <v>1.5451094865060818E-2</v>
      </c>
      <c r="P19" s="49">
        <v>-0.60212590443258374</v>
      </c>
      <c r="Q19" s="49">
        <f t="shared" ca="1" si="16"/>
        <v>2.392895715714434E-2</v>
      </c>
      <c r="R19" s="49">
        <f t="shared" ca="1" si="17"/>
        <v>-2.2641570421589965E-3</v>
      </c>
      <c r="S19" s="50">
        <v>0.36772338695875939</v>
      </c>
      <c r="T19" s="50">
        <f ca="1">(+SUM(O19:R19))+0.367723386958759</f>
        <v>-0.19728662249377854</v>
      </c>
      <c r="U19" s="49">
        <v>0.19428662249377812</v>
      </c>
      <c r="AC19" s="51"/>
      <c r="AD19" s="52"/>
      <c r="AE19" s="52"/>
    </row>
    <row r="20" spans="2:31" ht="16" x14ac:dyDescent="0.2">
      <c r="B20" s="58" t="s">
        <v>3</v>
      </c>
      <c r="C20" s="59"/>
      <c r="D20" s="59"/>
      <c r="E20" s="59"/>
      <c r="M20" s="47" t="s">
        <v>32</v>
      </c>
      <c r="N20" s="48">
        <v>1</v>
      </c>
      <c r="O20" s="49">
        <f t="shared" ca="1" si="15"/>
        <v>1.5451094865060818E-2</v>
      </c>
      <c r="P20" s="49">
        <v>-0.55200641176054144</v>
      </c>
      <c r="Q20" s="49">
        <f t="shared" ca="1" si="16"/>
        <v>2.2928957157144339E-2</v>
      </c>
      <c r="R20" s="49">
        <f t="shared" ca="1" si="17"/>
        <v>-2.2641570421589965E-3</v>
      </c>
      <c r="S20" s="50">
        <v>0.37865842198446864</v>
      </c>
      <c r="T20" s="50">
        <f ca="1">(+SUM(O20:R20))+0.378658421984469</f>
        <v>-0.13723209479602627</v>
      </c>
      <c r="U20" s="49">
        <v>0.13323209479602663</v>
      </c>
      <c r="AC20" s="51"/>
      <c r="AD20" s="52"/>
      <c r="AE20" s="52"/>
    </row>
    <row r="21" spans="2:31" ht="16" x14ac:dyDescent="0.2">
      <c r="B21" s="24"/>
      <c r="C21" s="43" t="s">
        <v>43</v>
      </c>
      <c r="D21" s="43" t="s">
        <v>44</v>
      </c>
      <c r="E21" s="44" t="s">
        <v>45</v>
      </c>
      <c r="M21" s="47" t="s">
        <v>33</v>
      </c>
      <c r="N21" s="48">
        <v>1</v>
      </c>
      <c r="O21" s="49">
        <f t="shared" ca="1" si="15"/>
        <v>1.6451094865060818E-2</v>
      </c>
      <c r="P21" s="49">
        <v>-0.50375521588218364</v>
      </c>
      <c r="Q21" s="49">
        <f t="shared" ca="1" si="16"/>
        <v>2.392895715714434E-2</v>
      </c>
      <c r="R21" s="49">
        <f t="shared" ca="1" si="17"/>
        <v>-2.6415704215899645E-4</v>
      </c>
      <c r="S21" s="50">
        <v>0.37374728052718209</v>
      </c>
      <c r="T21" s="50">
        <f ca="1">(+SUM(O21:R21))+0.373747280527182</f>
        <v>-8.9892040374955517E-2</v>
      </c>
      <c r="U21" s="49">
        <v>8.9892040374955434E-2</v>
      </c>
      <c r="AC21" s="51"/>
      <c r="AD21" s="52"/>
      <c r="AE21" s="52"/>
    </row>
    <row r="22" spans="2:31" ht="16" x14ac:dyDescent="0.2">
      <c r="B22" s="24">
        <v>2005</v>
      </c>
      <c r="C22" s="46">
        <v>-9.3655421401860992E-2</v>
      </c>
      <c r="D22" s="46">
        <v>-0.18810657945058415</v>
      </c>
      <c r="E22" s="46">
        <f>+C22+D22</f>
        <v>-0.28176200085244513</v>
      </c>
      <c r="M22" s="47" t="s">
        <v>34</v>
      </c>
      <c r="N22" s="48">
        <v>1</v>
      </c>
      <c r="O22" s="49">
        <f t="shared" ca="1" si="15"/>
        <v>1.8451094865060819E-2</v>
      </c>
      <c r="P22" s="49">
        <v>-0.51391885483106747</v>
      </c>
      <c r="Q22" s="49">
        <f t="shared" ca="1" si="16"/>
        <v>2.1928957157144338E-2</v>
      </c>
      <c r="R22" s="49">
        <f t="shared" ca="1" si="17"/>
        <v>-2.6415704215899645E-4</v>
      </c>
      <c r="S22" s="50">
        <v>0.36538531021615378</v>
      </c>
      <c r="T22" s="50">
        <f ca="1">(+SUM(O22:R22))+0.365385310216154</f>
        <v>-0.10841764963486733</v>
      </c>
      <c r="U22" s="49">
        <v>0.11241764963486754</v>
      </c>
      <c r="AC22" s="51"/>
      <c r="AD22" s="52"/>
      <c r="AE22" s="52"/>
    </row>
    <row r="23" spans="2:31" ht="16" x14ac:dyDescent="0.2">
      <c r="B23" s="24">
        <v>2006</v>
      </c>
      <c r="C23" s="46">
        <v>-0.16753904099210648</v>
      </c>
      <c r="D23" s="46">
        <v>-0.17832850995619309</v>
      </c>
      <c r="E23" s="46">
        <f t="shared" ref="E23:E34" si="18">+C23+D23</f>
        <v>-0.34586755094829957</v>
      </c>
      <c r="M23" s="47" t="s">
        <v>35</v>
      </c>
      <c r="N23" s="48">
        <v>1</v>
      </c>
      <c r="O23" s="49">
        <f t="shared" ca="1" si="15"/>
        <v>1.7451094865060818E-2</v>
      </c>
      <c r="P23" s="49">
        <v>-0.48572497668942888</v>
      </c>
      <c r="Q23" s="49">
        <f t="shared" ca="1" si="16"/>
        <v>2.392895715714434E-2</v>
      </c>
      <c r="R23" s="49">
        <f t="shared" ca="1" si="17"/>
        <v>-2.6415704215899645E-4</v>
      </c>
      <c r="S23" s="50">
        <v>0.3344971154155193</v>
      </c>
      <c r="T23" s="50">
        <f ca="1">(+SUM(O23:R23))+0.334497115415519</f>
        <v>-0.11011196629386372</v>
      </c>
      <c r="U23" s="49">
        <v>0.11011196629386341</v>
      </c>
      <c r="AC23" s="51"/>
      <c r="AD23" s="52"/>
      <c r="AE23" s="52"/>
    </row>
    <row r="24" spans="2:31" ht="16" x14ac:dyDescent="0.2">
      <c r="B24" s="24">
        <v>2007</v>
      </c>
      <c r="C24" s="46">
        <v>-0.16636812327226622</v>
      </c>
      <c r="D24" s="46">
        <v>-0.157923576126315</v>
      </c>
      <c r="E24" s="46">
        <f t="shared" si="18"/>
        <v>-0.32429169939858121</v>
      </c>
      <c r="M24" s="47"/>
      <c r="N24" s="48"/>
      <c r="O24" s="49"/>
      <c r="Q24" s="49"/>
      <c r="R24" s="49"/>
      <c r="S24" s="50"/>
      <c r="T24" s="50"/>
      <c r="AC24" s="51"/>
    </row>
    <row r="25" spans="2:31" ht="16" x14ac:dyDescent="0.2">
      <c r="B25" s="24">
        <v>2008</v>
      </c>
      <c r="C25" s="46">
        <v>-0.17854426166389858</v>
      </c>
      <c r="D25" s="46">
        <v>-0.15728529516565681</v>
      </c>
      <c r="E25" s="46">
        <f t="shared" si="18"/>
        <v>-0.3358295568295554</v>
      </c>
      <c r="AC25" s="51"/>
    </row>
    <row r="26" spans="2:31" x14ac:dyDescent="0.15">
      <c r="B26" s="24">
        <v>2009</v>
      </c>
      <c r="C26" s="46">
        <v>-0.17645611167724976</v>
      </c>
      <c r="D26" s="46">
        <v>-0.18513842257135854</v>
      </c>
      <c r="E26" s="46">
        <f t="shared" si="18"/>
        <v>-0.36159453424860832</v>
      </c>
      <c r="P26" s="50"/>
    </row>
    <row r="27" spans="2:31" x14ac:dyDescent="0.15">
      <c r="B27" s="24">
        <v>2010</v>
      </c>
      <c r="C27" s="46">
        <v>-0.16576229328454475</v>
      </c>
      <c r="D27" s="46">
        <v>-0.19499989493296851</v>
      </c>
      <c r="E27" s="46">
        <f t="shared" si="18"/>
        <v>-0.36076218821751327</v>
      </c>
      <c r="P27" s="50"/>
    </row>
    <row r="28" spans="2:31" ht="16" x14ac:dyDescent="0.2">
      <c r="B28" s="24">
        <v>2011</v>
      </c>
      <c r="C28" s="46">
        <v>-0.15080358920535403</v>
      </c>
      <c r="D28" s="46">
        <v>-0.21689835158594079</v>
      </c>
      <c r="E28" s="46">
        <f t="shared" si="18"/>
        <v>-0.36770194079129481</v>
      </c>
      <c r="M28" s="47"/>
      <c r="N28" s="48"/>
      <c r="P28" s="50"/>
    </row>
    <row r="29" spans="2:31" ht="16" x14ac:dyDescent="0.2">
      <c r="B29" s="24">
        <v>2012</v>
      </c>
      <c r="C29" s="46">
        <v>-0.17197447572869035</v>
      </c>
      <c r="D29" s="46">
        <v>-0.24632666054273319</v>
      </c>
      <c r="E29" s="46">
        <f t="shared" si="18"/>
        <v>-0.41830113627142351</v>
      </c>
      <c r="M29" s="47"/>
      <c r="N29" s="48"/>
      <c r="P29" s="50"/>
    </row>
    <row r="30" spans="2:31" ht="16" x14ac:dyDescent="0.2">
      <c r="B30" s="24">
        <v>2013</v>
      </c>
      <c r="C30" s="46">
        <v>-0.1705562222440099</v>
      </c>
      <c r="D30" s="46">
        <v>-0.26911086387201039</v>
      </c>
      <c r="E30" s="46">
        <f t="shared" si="18"/>
        <v>-0.43966708611602029</v>
      </c>
      <c r="M30" s="47"/>
      <c r="N30" s="48"/>
      <c r="P30" s="50"/>
    </row>
    <row r="31" spans="2:31" ht="16" x14ac:dyDescent="0.2">
      <c r="B31" s="24">
        <v>2014</v>
      </c>
      <c r="C31" s="46">
        <v>-0.17117748089917939</v>
      </c>
      <c r="D31" s="46">
        <v>-0.26546249945249045</v>
      </c>
      <c r="E31" s="46">
        <f t="shared" si="18"/>
        <v>-0.43663998035166984</v>
      </c>
      <c r="M31" s="47"/>
      <c r="N31" s="48"/>
      <c r="P31" s="50"/>
    </row>
    <row r="32" spans="2:31" ht="16" x14ac:dyDescent="0.2">
      <c r="B32" s="24">
        <v>2015</v>
      </c>
      <c r="C32" s="46">
        <v>-0.18884229175392203</v>
      </c>
      <c r="D32" s="46">
        <v>-0.25100655381969</v>
      </c>
      <c r="E32" s="46">
        <f t="shared" si="18"/>
        <v>-0.43984884557361204</v>
      </c>
      <c r="M32" s="47"/>
      <c r="N32" s="48"/>
      <c r="P32" s="50"/>
    </row>
    <row r="33" spans="2:16" ht="16" x14ac:dyDescent="0.2">
      <c r="B33" s="24">
        <v>2016</v>
      </c>
      <c r="C33" s="46">
        <v>-0.20251574138816542</v>
      </c>
      <c r="D33" s="46">
        <v>-0.25644505324832945</v>
      </c>
      <c r="E33" s="46">
        <f t="shared" si="18"/>
        <v>-0.45896079463649486</v>
      </c>
      <c r="M33" s="47"/>
      <c r="N33" s="48"/>
      <c r="P33" s="50"/>
    </row>
    <row r="34" spans="2:16" ht="16" x14ac:dyDescent="0.2">
      <c r="B34" s="24">
        <v>2017</v>
      </c>
      <c r="C34" s="46">
        <v>-0.20387427099856509</v>
      </c>
      <c r="D34" s="46">
        <v>-0.28809441963863763</v>
      </c>
      <c r="E34" s="46">
        <f t="shared" si="18"/>
        <v>-0.49196869063720272</v>
      </c>
      <c r="M34" s="47"/>
      <c r="N34" s="48"/>
      <c r="P34" s="50"/>
    </row>
    <row r="35" spans="2:16" ht="16" x14ac:dyDescent="0.2">
      <c r="B35" s="24"/>
      <c r="C35" s="24"/>
      <c r="D35" s="53"/>
      <c r="E35" s="53"/>
      <c r="M35" s="47"/>
      <c r="N35" s="48"/>
      <c r="P35" s="50"/>
    </row>
    <row r="36" spans="2:16" ht="16" x14ac:dyDescent="0.2">
      <c r="B36" s="24"/>
      <c r="C36" s="24"/>
      <c r="D36" s="53"/>
      <c r="E36" s="53"/>
      <c r="M36" s="47"/>
      <c r="N36" s="48"/>
      <c r="P36" s="50"/>
    </row>
    <row r="37" spans="2:16" ht="16" x14ac:dyDescent="0.2">
      <c r="B37" s="58" t="s">
        <v>1</v>
      </c>
      <c r="C37" s="59"/>
      <c r="D37" s="59"/>
      <c r="E37" s="59"/>
      <c r="M37" s="47"/>
      <c r="N37" s="48"/>
      <c r="P37" s="50"/>
    </row>
    <row r="38" spans="2:16" ht="16" x14ac:dyDescent="0.2">
      <c r="B38" s="24"/>
      <c r="C38" s="43" t="s">
        <v>43</v>
      </c>
      <c r="D38" s="43" t="s">
        <v>44</v>
      </c>
      <c r="E38" s="44" t="s">
        <v>45</v>
      </c>
      <c r="M38" s="47"/>
      <c r="N38" s="48"/>
      <c r="P38" s="50"/>
    </row>
    <row r="39" spans="2:16" ht="16" x14ac:dyDescent="0.2">
      <c r="B39" s="24">
        <v>2005</v>
      </c>
      <c r="C39" s="46">
        <v>-8.9482939786588181E-2</v>
      </c>
      <c r="D39" s="46">
        <v>1.9303973250957833E-2</v>
      </c>
      <c r="E39" s="46">
        <f>+C39+D39</f>
        <v>-7.0178966535630355E-2</v>
      </c>
      <c r="M39" s="47"/>
      <c r="N39" s="48"/>
      <c r="P39" s="50"/>
    </row>
    <row r="40" spans="2:16" ht="16" x14ac:dyDescent="0.2">
      <c r="B40" s="24">
        <v>2006</v>
      </c>
      <c r="C40" s="46">
        <v>-2.9100653990188413E-3</v>
      </c>
      <c r="D40" s="46">
        <v>8.3044343850010895E-3</v>
      </c>
      <c r="E40" s="46">
        <f t="shared" ref="E40:E51" si="19">+C40+D40</f>
        <v>5.3943689859822482E-3</v>
      </c>
      <c r="M40" s="47"/>
    </row>
    <row r="41" spans="2:16" ht="16" x14ac:dyDescent="0.2">
      <c r="B41" s="24">
        <v>2007</v>
      </c>
      <c r="C41" s="46">
        <v>4.9177899626157004E-3</v>
      </c>
      <c r="D41" s="46">
        <v>1.0440550858683312E-2</v>
      </c>
      <c r="E41" s="46">
        <f t="shared" si="19"/>
        <v>1.5358340821299013E-2</v>
      </c>
      <c r="M41" s="47"/>
    </row>
    <row r="42" spans="2:16" ht="16" x14ac:dyDescent="0.2">
      <c r="B42" s="24">
        <v>2008</v>
      </c>
      <c r="C42" s="46">
        <v>9.0176022303376548E-3</v>
      </c>
      <c r="D42" s="46">
        <v>7.7984995589629701E-3</v>
      </c>
      <c r="E42" s="46">
        <f t="shared" si="19"/>
        <v>1.6816101789300625E-2</v>
      </c>
      <c r="M42" s="47"/>
    </row>
    <row r="43" spans="2:16" ht="16" x14ac:dyDescent="0.2">
      <c r="B43" s="24">
        <v>2009</v>
      </c>
      <c r="C43" s="46">
        <v>1.1315516838577063E-2</v>
      </c>
      <c r="D43" s="46">
        <v>7.8044572744980119E-3</v>
      </c>
      <c r="E43" s="46">
        <f t="shared" si="19"/>
        <v>1.9119974113075075E-2</v>
      </c>
      <c r="M43" s="47"/>
    </row>
    <row r="44" spans="2:16" ht="16" x14ac:dyDescent="0.2">
      <c r="B44" s="24">
        <v>2010</v>
      </c>
      <c r="C44" s="46">
        <v>2.9114037832101133E-2</v>
      </c>
      <c r="D44" s="46">
        <v>-4.7545097449834591E-3</v>
      </c>
      <c r="E44" s="46">
        <f t="shared" si="19"/>
        <v>2.4359528087117673E-2</v>
      </c>
      <c r="M44" s="47"/>
    </row>
    <row r="45" spans="2:16" ht="16" x14ac:dyDescent="0.2">
      <c r="B45" s="24">
        <v>2011</v>
      </c>
      <c r="C45" s="46">
        <v>3.0856170841243102E-2</v>
      </c>
      <c r="D45" s="46">
        <v>-1.0782443899088912E-2</v>
      </c>
      <c r="E45" s="46">
        <f t="shared" si="19"/>
        <v>2.0073726942154188E-2</v>
      </c>
      <c r="M45" s="47"/>
    </row>
    <row r="46" spans="2:16" ht="16" x14ac:dyDescent="0.2">
      <c r="B46" s="24">
        <v>2012</v>
      </c>
      <c r="C46" s="46">
        <v>2.8645390684485364E-2</v>
      </c>
      <c r="D46" s="46">
        <v>-5.4378145894750912E-3</v>
      </c>
      <c r="E46" s="46">
        <f t="shared" si="19"/>
        <v>2.3207576095010271E-2</v>
      </c>
      <c r="M46" s="47"/>
    </row>
    <row r="47" spans="2:16" ht="16" x14ac:dyDescent="0.2">
      <c r="B47" s="24">
        <v>2013</v>
      </c>
      <c r="C47" s="46">
        <v>2.4647723545422853E-2</v>
      </c>
      <c r="D47" s="46">
        <v>1.6327431722648403E-3</v>
      </c>
      <c r="E47" s="46">
        <f t="shared" si="19"/>
        <v>2.6280466717687693E-2</v>
      </c>
      <c r="M47" s="47"/>
    </row>
    <row r="48" spans="2:16" ht="16" x14ac:dyDescent="0.2">
      <c r="B48" s="24">
        <v>2014</v>
      </c>
      <c r="C48" s="46">
        <v>2.815832698648504E-2</v>
      </c>
      <c r="D48" s="46">
        <v>-2.1318190275498618E-3</v>
      </c>
      <c r="E48" s="46">
        <f t="shared" si="19"/>
        <v>2.6026507958935179E-2</v>
      </c>
      <c r="M48" s="47"/>
    </row>
    <row r="49" spans="2:5" x14ac:dyDescent="0.15">
      <c r="B49" s="24">
        <v>2015</v>
      </c>
      <c r="C49" s="46">
        <v>2.8943527363316426E-2</v>
      </c>
      <c r="D49" s="46">
        <v>-1.8059962658863796E-3</v>
      </c>
      <c r="E49" s="46">
        <f t="shared" si="19"/>
        <v>2.7137531097430046E-2</v>
      </c>
    </row>
    <row r="50" spans="2:5" x14ac:dyDescent="0.15">
      <c r="B50" s="24">
        <v>2016</v>
      </c>
      <c r="C50" s="46">
        <v>3.0775157441852816E-2</v>
      </c>
      <c r="D50" s="46">
        <v>-1.9972501757666832E-3</v>
      </c>
      <c r="E50" s="46">
        <f t="shared" si="19"/>
        <v>2.8777907266086131E-2</v>
      </c>
    </row>
    <row r="51" spans="2:5" x14ac:dyDescent="0.15">
      <c r="B51" s="24">
        <v>2017</v>
      </c>
      <c r="C51" s="46">
        <v>3.4258407248601387E-2</v>
      </c>
      <c r="D51" s="46">
        <v>-3.662951236947468E-3</v>
      </c>
      <c r="E51" s="46">
        <f t="shared" si="19"/>
        <v>3.0595456011653921E-2</v>
      </c>
    </row>
    <row r="52" spans="2:5" x14ac:dyDescent="0.15">
      <c r="B52" s="24"/>
      <c r="C52" s="24"/>
      <c r="D52" s="53"/>
      <c r="E52" s="53"/>
    </row>
    <row r="53" spans="2:5" x14ac:dyDescent="0.15">
      <c r="B53" s="24"/>
      <c r="C53" s="24"/>
      <c r="D53" s="53"/>
      <c r="E53" s="53"/>
    </row>
    <row r="54" spans="2:5" x14ac:dyDescent="0.15">
      <c r="B54" s="24"/>
      <c r="C54" s="24"/>
      <c r="D54" s="53"/>
      <c r="E54" s="53"/>
    </row>
    <row r="55" spans="2:5" ht="16" x14ac:dyDescent="0.2">
      <c r="B55" s="58" t="s">
        <v>2</v>
      </c>
      <c r="C55" s="59"/>
      <c r="D55" s="59"/>
      <c r="E55" s="59"/>
    </row>
    <row r="56" spans="2:5" ht="16" x14ac:dyDescent="0.2">
      <c r="B56" s="24"/>
      <c r="C56" s="43" t="s">
        <v>43</v>
      </c>
      <c r="D56" s="43" t="s">
        <v>44</v>
      </c>
      <c r="E56" s="44" t="s">
        <v>45</v>
      </c>
    </row>
    <row r="57" spans="2:5" x14ac:dyDescent="0.15">
      <c r="B57" s="24">
        <v>2005</v>
      </c>
      <c r="C57" s="46">
        <v>-1.6799016048277382E-2</v>
      </c>
      <c r="D57" s="46">
        <v>7.700321565945466E-4</v>
      </c>
      <c r="E57" s="46">
        <f>+C57+D57</f>
        <v>-1.6028983891682835E-2</v>
      </c>
    </row>
    <row r="58" spans="2:5" x14ac:dyDescent="0.15">
      <c r="B58" s="24">
        <v>2006</v>
      </c>
      <c r="C58" s="46">
        <v>-9.8753295502437971E-3</v>
      </c>
      <c r="D58" s="46">
        <v>1.2012040432791678E-3</v>
      </c>
      <c r="E58" s="46">
        <f t="shared" ref="E58:E69" si="20">+C58+D58</f>
        <v>-8.6741255069646295E-3</v>
      </c>
    </row>
    <row r="59" spans="2:5" x14ac:dyDescent="0.15">
      <c r="B59" s="24">
        <v>2007</v>
      </c>
      <c r="C59" s="46">
        <v>-5.3560749469643461E-3</v>
      </c>
      <c r="D59" s="46">
        <v>1.1690838535978851E-3</v>
      </c>
      <c r="E59" s="46">
        <f t="shared" si="20"/>
        <v>-4.1869910933664614E-3</v>
      </c>
    </row>
    <row r="60" spans="2:5" x14ac:dyDescent="0.15">
      <c r="B60" s="24">
        <v>2008</v>
      </c>
      <c r="C60" s="46">
        <v>-8.8264988413309653E-3</v>
      </c>
      <c r="D60" s="46">
        <v>8.95010038868702E-4</v>
      </c>
      <c r="E60" s="46">
        <f t="shared" si="20"/>
        <v>-7.9314888024622637E-3</v>
      </c>
    </row>
    <row r="61" spans="2:5" x14ac:dyDescent="0.15">
      <c r="B61" s="24">
        <v>2009</v>
      </c>
      <c r="C61" s="46">
        <v>-6.9068778260383268E-3</v>
      </c>
      <c r="D61" s="46">
        <v>1.1087293338487214E-3</v>
      </c>
      <c r="E61" s="46">
        <f t="shared" si="20"/>
        <v>-5.7981484921896054E-3</v>
      </c>
    </row>
    <row r="62" spans="2:5" x14ac:dyDescent="0.15">
      <c r="B62" s="24">
        <v>2010</v>
      </c>
      <c r="C62" s="46">
        <v>-1.5204948467324453E-3</v>
      </c>
      <c r="D62" s="46">
        <v>9.3191154516219447E-4</v>
      </c>
      <c r="E62" s="46">
        <f t="shared" si="20"/>
        <v>-5.8858330157025081E-4</v>
      </c>
    </row>
    <row r="63" spans="2:5" x14ac:dyDescent="0.15">
      <c r="B63" s="24">
        <v>2011</v>
      </c>
      <c r="C63" s="46">
        <v>-4.629472633213845E-3</v>
      </c>
      <c r="D63" s="46">
        <v>1.1868651387679492E-3</v>
      </c>
      <c r="E63" s="46">
        <f t="shared" si="20"/>
        <v>-3.442607494445896E-3</v>
      </c>
    </row>
    <row r="64" spans="2:5" x14ac:dyDescent="0.15">
      <c r="B64" s="24">
        <v>2012</v>
      </c>
      <c r="C64" s="46">
        <v>-7.213106403820768E-3</v>
      </c>
      <c r="D64" s="46">
        <v>9.2008054261014821E-4</v>
      </c>
      <c r="E64" s="46">
        <f t="shared" si="20"/>
        <v>-6.29302586121062E-3</v>
      </c>
    </row>
    <row r="65" spans="2:5" x14ac:dyDescent="0.15">
      <c r="B65" s="24">
        <v>2013</v>
      </c>
      <c r="C65" s="46">
        <v>-9.4912835331507428E-4</v>
      </c>
      <c r="D65" s="46">
        <v>1.0019791864822076E-3</v>
      </c>
      <c r="E65" s="46">
        <f t="shared" si="20"/>
        <v>5.2850833167133278E-5</v>
      </c>
    </row>
    <row r="66" spans="2:5" x14ac:dyDescent="0.15">
      <c r="B66" s="24">
        <v>2014</v>
      </c>
      <c r="C66" s="46">
        <v>-1.1915964681885063E-3</v>
      </c>
      <c r="D66" s="46">
        <v>8.1372765121430469E-4</v>
      </c>
      <c r="E66" s="46">
        <f t="shared" si="20"/>
        <v>-3.7786881697420157E-4</v>
      </c>
    </row>
    <row r="67" spans="2:5" x14ac:dyDescent="0.15">
      <c r="B67" s="24">
        <v>2015</v>
      </c>
      <c r="C67" s="46">
        <v>6.0461758204927423E-4</v>
      </c>
      <c r="D67" s="46">
        <v>2.8399106555258469E-3</v>
      </c>
      <c r="E67" s="46">
        <f t="shared" si="20"/>
        <v>3.4445282375751211E-3</v>
      </c>
    </row>
    <row r="68" spans="2:5" x14ac:dyDescent="0.15">
      <c r="B68" s="24">
        <v>2016</v>
      </c>
      <c r="C68" s="46">
        <v>1.9354544722109026E-3</v>
      </c>
      <c r="D68" s="46">
        <v>1.830035963297887E-3</v>
      </c>
      <c r="E68" s="46">
        <f t="shared" si="20"/>
        <v>3.7654904355087894E-3</v>
      </c>
    </row>
    <row r="69" spans="2:5" x14ac:dyDescent="0.15">
      <c r="B69" s="24">
        <v>2017</v>
      </c>
      <c r="C69" s="46">
        <v>1.2677641271667381E-3</v>
      </c>
      <c r="D69" s="46">
        <v>1.5923212298581805E-3</v>
      </c>
      <c r="E69" s="46">
        <f t="shared" si="20"/>
        <v>2.8600853570249184E-3</v>
      </c>
    </row>
    <row r="70" spans="2:5" x14ac:dyDescent="0.15">
      <c r="B70" s="24"/>
      <c r="C70" s="24"/>
      <c r="D70" s="53"/>
      <c r="E70" s="53"/>
    </row>
    <row r="71" spans="2:5" x14ac:dyDescent="0.15">
      <c r="B71" s="24"/>
      <c r="C71" s="24"/>
      <c r="D71" s="53"/>
      <c r="E71" s="53"/>
    </row>
    <row r="72" spans="2:5" ht="16" x14ac:dyDescent="0.2">
      <c r="B72" s="58" t="s">
        <v>46</v>
      </c>
      <c r="C72" s="59"/>
      <c r="D72" s="59"/>
      <c r="E72" s="59"/>
    </row>
    <row r="73" spans="2:5" ht="16" x14ac:dyDescent="0.2">
      <c r="B73" s="24"/>
      <c r="C73" s="43" t="s">
        <v>43</v>
      </c>
      <c r="D73" s="43" t="s">
        <v>44</v>
      </c>
      <c r="E73" s="44" t="s">
        <v>45</v>
      </c>
    </row>
    <row r="74" spans="2:5" x14ac:dyDescent="0.15">
      <c r="B74" s="24">
        <v>2005</v>
      </c>
      <c r="C74" s="54">
        <v>0.18952130792846156</v>
      </c>
      <c r="D74" s="54">
        <v>8.3649960639067503E-2</v>
      </c>
      <c r="E74" s="54">
        <f>+C74+D74</f>
        <v>0.27317126856752905</v>
      </c>
    </row>
    <row r="75" spans="2:5" x14ac:dyDescent="0.15">
      <c r="B75" s="24">
        <v>2006</v>
      </c>
      <c r="C75" s="54">
        <v>0.18221961140325266</v>
      </c>
      <c r="D75" s="54">
        <v>9.3946724029952855E-2</v>
      </c>
      <c r="E75" s="54">
        <f t="shared" ref="E75:E86" si="21">+C75+D75</f>
        <v>0.27616633543320551</v>
      </c>
    </row>
    <row r="76" spans="2:5" x14ac:dyDescent="0.15">
      <c r="B76" s="24">
        <v>2007</v>
      </c>
      <c r="C76" s="54">
        <v>0.17677969189195086</v>
      </c>
      <c r="D76" s="54">
        <v>8.3037147540542242E-2</v>
      </c>
      <c r="E76" s="54">
        <f t="shared" si="21"/>
        <v>0.25981683943249312</v>
      </c>
    </row>
    <row r="77" spans="2:5" x14ac:dyDescent="0.15">
      <c r="B77" s="24">
        <v>2008</v>
      </c>
      <c r="C77" s="54">
        <v>0.18770024518467374</v>
      </c>
      <c r="D77" s="54">
        <v>7.1572485020817686E-2</v>
      </c>
      <c r="E77" s="54">
        <f t="shared" si="21"/>
        <v>0.25927273020549141</v>
      </c>
    </row>
    <row r="78" spans="2:5" x14ac:dyDescent="0.15">
      <c r="B78" s="24">
        <v>2009</v>
      </c>
      <c r="C78" s="54">
        <v>0.18533145668757381</v>
      </c>
      <c r="D78" s="54">
        <v>7.7879298903230393E-2</v>
      </c>
      <c r="E78" s="54">
        <f t="shared" si="21"/>
        <v>0.2632107555908042</v>
      </c>
    </row>
    <row r="79" spans="2:5" x14ac:dyDescent="0.15">
      <c r="B79" s="24">
        <v>2010</v>
      </c>
      <c r="C79" s="54">
        <v>0.14826723328739738</v>
      </c>
      <c r="D79" s="54">
        <v>5.833451429341413E-2</v>
      </c>
      <c r="E79" s="54">
        <f t="shared" si="21"/>
        <v>0.20660174758081151</v>
      </c>
    </row>
    <row r="80" spans="2:5" x14ac:dyDescent="0.15">
      <c r="B80" s="24">
        <v>2011</v>
      </c>
      <c r="C80" s="54">
        <v>0.14135815830776821</v>
      </c>
      <c r="D80" s="54">
        <v>6.3213136136037407E-2</v>
      </c>
      <c r="E80" s="54">
        <f t="shared" si="21"/>
        <v>0.20457129444380562</v>
      </c>
    </row>
    <row r="81" spans="2:5" x14ac:dyDescent="0.15">
      <c r="B81" s="24">
        <v>2012</v>
      </c>
      <c r="C81" s="54">
        <v>0.16011784844154067</v>
      </c>
      <c r="D81" s="54">
        <v>7.1230420599598249E-2</v>
      </c>
      <c r="E81" s="54">
        <f t="shared" si="21"/>
        <v>0.23134826904113892</v>
      </c>
    </row>
    <row r="82" spans="2:5" x14ac:dyDescent="0.15">
      <c r="B82" s="24">
        <v>2013</v>
      </c>
      <c r="C82" s="54">
        <v>0.16675880098777834</v>
      </c>
      <c r="D82" s="54">
        <v>6.9099749718244646E-2</v>
      </c>
      <c r="E82" s="54">
        <f t="shared" si="21"/>
        <v>0.23585855070602299</v>
      </c>
    </row>
    <row r="83" spans="2:5" x14ac:dyDescent="0.15">
      <c r="B83" s="24">
        <v>2014</v>
      </c>
      <c r="C83" s="54">
        <v>0.17392249434619431</v>
      </c>
      <c r="D83" s="54">
        <v>6.2799303837698689E-2</v>
      </c>
      <c r="E83" s="54">
        <f t="shared" si="21"/>
        <v>0.236721798183893</v>
      </c>
    </row>
    <row r="84" spans="2:5" x14ac:dyDescent="0.15">
      <c r="B84" s="24">
        <v>2015</v>
      </c>
      <c r="C84" s="54">
        <v>0.1905970171046244</v>
      </c>
      <c r="D84" s="54">
        <v>6.449581221168102E-2</v>
      </c>
      <c r="E84" s="54">
        <f t="shared" si="21"/>
        <v>0.25509282931630539</v>
      </c>
    </row>
    <row r="85" spans="2:5" x14ac:dyDescent="0.15">
      <c r="B85" s="24">
        <v>2016</v>
      </c>
      <c r="C85" s="54">
        <v>0.20436961609966595</v>
      </c>
      <c r="D85" s="54">
        <v>7.0014976808165874E-2</v>
      </c>
      <c r="E85" s="54">
        <f t="shared" si="21"/>
        <v>0.27438459290783179</v>
      </c>
    </row>
    <row r="86" spans="2:5" x14ac:dyDescent="0.15">
      <c r="B86" s="24">
        <v>2017</v>
      </c>
      <c r="C86" s="54">
        <v>0.21347099917170761</v>
      </c>
      <c r="D86" s="54">
        <v>0.1048628358104476</v>
      </c>
      <c r="E86" s="54">
        <f t="shared" si="21"/>
        <v>0.31833383498215523</v>
      </c>
    </row>
    <row r="91" spans="2:5" ht="16" x14ac:dyDescent="0.2">
      <c r="B91" s="58" t="s">
        <v>47</v>
      </c>
      <c r="C91" s="59"/>
      <c r="D91" s="59"/>
      <c r="E91" s="59"/>
    </row>
    <row r="92" spans="2:5" ht="16" x14ac:dyDescent="0.2">
      <c r="B92" s="24"/>
      <c r="C92" s="43" t="s">
        <v>43</v>
      </c>
      <c r="D92" s="43" t="s">
        <v>44</v>
      </c>
      <c r="E92" s="44" t="s">
        <v>45</v>
      </c>
    </row>
    <row r="93" spans="2:5" x14ac:dyDescent="0.15">
      <c r="B93" s="24">
        <v>2005</v>
      </c>
      <c r="C93" s="54">
        <f>+C4+C22+C39+C57+C74</f>
        <v>-4.9145996713566009E-3</v>
      </c>
      <c r="D93" s="54">
        <f t="shared" ref="D93:D105" si="22">+D4+D22+D39+D57+D74</f>
        <v>-7.4894202384691702E-2</v>
      </c>
      <c r="E93" s="54">
        <f>+C93+D93</f>
        <v>-7.9808802056048303E-2</v>
      </c>
    </row>
    <row r="94" spans="2:5" x14ac:dyDescent="0.15">
      <c r="B94" s="24">
        <v>2006</v>
      </c>
      <c r="C94" s="54">
        <f t="shared" ref="C94:C105" si="23">+C5+C23+C40+C58+C75</f>
        <v>-7.2153053311082016E-3</v>
      </c>
      <c r="D94" s="54">
        <f t="shared" si="22"/>
        <v>-5.3455167432440331E-2</v>
      </c>
      <c r="E94" s="54">
        <f t="shared" ref="E94:E105" si="24">+C94+D94</f>
        <v>-6.0670472763548533E-2</v>
      </c>
    </row>
    <row r="95" spans="2:5" x14ac:dyDescent="0.15">
      <c r="B95" s="24">
        <v>2007</v>
      </c>
      <c r="C95" s="54">
        <f t="shared" si="23"/>
        <v>-1.1384290368029348E-2</v>
      </c>
      <c r="D95" s="54">
        <f t="shared" si="22"/>
        <v>-2.7467999970313448E-2</v>
      </c>
      <c r="E95" s="54">
        <f t="shared" si="24"/>
        <v>-3.8852290338342796E-2</v>
      </c>
    </row>
    <row r="96" spans="2:5" x14ac:dyDescent="0.15">
      <c r="B96" s="24">
        <v>2008</v>
      </c>
      <c r="C96" s="54">
        <f t="shared" si="23"/>
        <v>-2.7906072219173461E-3</v>
      </c>
      <c r="D96" s="54">
        <f t="shared" si="22"/>
        <v>-4.7104527132863727E-2</v>
      </c>
      <c r="E96" s="54">
        <f t="shared" si="24"/>
        <v>-4.9895134354781073E-2</v>
      </c>
    </row>
    <row r="97" spans="2:14" x14ac:dyDescent="0.15">
      <c r="B97" s="24">
        <v>2009</v>
      </c>
      <c r="C97" s="54">
        <f t="shared" si="23"/>
        <v>-2.6710088936687526E-3</v>
      </c>
      <c r="D97" s="54">
        <f t="shared" si="22"/>
        <v>-6.475142071890222E-2</v>
      </c>
      <c r="E97" s="54">
        <f t="shared" si="24"/>
        <v>-6.7422429612570972E-2</v>
      </c>
    </row>
    <row r="98" spans="2:14" x14ac:dyDescent="0.15">
      <c r="B98" s="24">
        <v>2010</v>
      </c>
      <c r="C98" s="54">
        <f t="shared" si="23"/>
        <v>-1.3715309074702753E-3</v>
      </c>
      <c r="D98" s="54">
        <f t="shared" si="22"/>
        <v>-0.10910470294961619</v>
      </c>
      <c r="E98" s="54">
        <f t="shared" si="24"/>
        <v>-0.11047623385708646</v>
      </c>
    </row>
    <row r="99" spans="2:14" x14ac:dyDescent="0.15">
      <c r="B99" s="24">
        <v>2011</v>
      </c>
      <c r="C99" s="54">
        <f t="shared" si="23"/>
        <v>-2.6873299291366726E-3</v>
      </c>
      <c r="D99" s="54">
        <f t="shared" si="22"/>
        <v>-0.12984102414566409</v>
      </c>
      <c r="E99" s="54">
        <f t="shared" si="24"/>
        <v>-0.13252835407480076</v>
      </c>
    </row>
    <row r="100" spans="2:14" x14ac:dyDescent="0.15">
      <c r="B100" s="24">
        <v>2012</v>
      </c>
      <c r="C100" s="54">
        <f t="shared" si="23"/>
        <v>-1.1830108377679227E-3</v>
      </c>
      <c r="D100" s="54">
        <f t="shared" si="22"/>
        <v>-0.15247446204977519</v>
      </c>
      <c r="E100" s="54">
        <f t="shared" si="24"/>
        <v>-0.15365747288754311</v>
      </c>
    </row>
    <row r="101" spans="2:14" x14ac:dyDescent="0.15">
      <c r="B101" s="24">
        <v>2013</v>
      </c>
      <c r="C101" s="54">
        <f t="shared" si="23"/>
        <v>-1.1945096617447803E-3</v>
      </c>
      <c r="D101" s="54">
        <f t="shared" si="22"/>
        <v>-0.16125485769994621</v>
      </c>
      <c r="E101" s="54">
        <f t="shared" si="24"/>
        <v>-0.16244936736169099</v>
      </c>
    </row>
    <row r="102" spans="2:14" x14ac:dyDescent="0.15">
      <c r="B102" s="24">
        <v>2014</v>
      </c>
      <c r="C102" s="54">
        <f t="shared" si="23"/>
        <v>4.7796339162678447E-4</v>
      </c>
      <c r="D102" s="54">
        <f t="shared" si="22"/>
        <v>-0.16103801722193173</v>
      </c>
      <c r="E102" s="54">
        <f t="shared" si="24"/>
        <v>-0.16056005383030494</v>
      </c>
    </row>
    <row r="103" spans="2:14" x14ac:dyDescent="0.15">
      <c r="B103" s="24">
        <v>2015</v>
      </c>
      <c r="C103" s="54">
        <f t="shared" si="23"/>
        <v>1.4827207844512746E-3</v>
      </c>
      <c r="D103" s="54">
        <f t="shared" si="22"/>
        <v>-0.14094759621564965</v>
      </c>
      <c r="E103" s="54">
        <f t="shared" si="24"/>
        <v>-0.13946487543119837</v>
      </c>
    </row>
    <row r="104" spans="2:14" x14ac:dyDescent="0.15">
      <c r="B104" s="24">
        <v>2016</v>
      </c>
      <c r="C104" s="54">
        <f t="shared" si="23"/>
        <v>5.0154321633177901E-3</v>
      </c>
      <c r="D104" s="54">
        <f t="shared" si="22"/>
        <v>-0.14257500360324177</v>
      </c>
      <c r="E104" s="54">
        <f t="shared" si="24"/>
        <v>-0.13755957143992398</v>
      </c>
      <c r="N104" s="50"/>
    </row>
    <row r="105" spans="2:14" x14ac:dyDescent="0.15">
      <c r="B105" s="24">
        <v>2017</v>
      </c>
      <c r="C105" s="54">
        <f t="shared" si="23"/>
        <v>5.5772743568803518E-3</v>
      </c>
      <c r="D105" s="54">
        <f t="shared" si="22"/>
        <v>-0.1302434906319716</v>
      </c>
      <c r="E105" s="54">
        <f t="shared" si="24"/>
        <v>-0.12466621627509125</v>
      </c>
    </row>
    <row r="108" spans="2:14" ht="16" x14ac:dyDescent="0.2">
      <c r="B108" s="58" t="s">
        <v>48</v>
      </c>
      <c r="C108" s="59"/>
      <c r="D108" s="59"/>
      <c r="E108" s="59"/>
    </row>
    <row r="109" spans="2:14" ht="16" x14ac:dyDescent="0.2">
      <c r="B109" s="24"/>
      <c r="C109" s="43" t="s">
        <v>43</v>
      </c>
      <c r="D109" s="43" t="s">
        <v>44</v>
      </c>
      <c r="E109" s="44" t="s">
        <v>45</v>
      </c>
    </row>
    <row r="110" spans="2:14" x14ac:dyDescent="0.15">
      <c r="B110" s="24">
        <v>2005</v>
      </c>
      <c r="C110" s="54">
        <v>0</v>
      </c>
      <c r="D110" s="54">
        <v>8.093706288664182E-2</v>
      </c>
      <c r="E110" s="54">
        <f>+C110+D110</f>
        <v>8.093706288664182E-2</v>
      </c>
      <c r="M110" s="55">
        <f>+E93+E110</f>
        <v>1.1282608305935166E-3</v>
      </c>
    </row>
    <row r="111" spans="2:14" x14ac:dyDescent="0.15">
      <c r="B111" s="24">
        <v>2006</v>
      </c>
      <c r="C111" s="54">
        <v>0</v>
      </c>
      <c r="D111" s="54">
        <v>6.311629903957662E-2</v>
      </c>
      <c r="E111" s="54">
        <f t="shared" ref="E111:E122" si="25">+C111+D111</f>
        <v>6.311629903957662E-2</v>
      </c>
      <c r="M111" s="55">
        <f t="shared" ref="M111:M121" si="26">+E94+E111</f>
        <v>2.4458262760280874E-3</v>
      </c>
    </row>
    <row r="112" spans="2:14" x14ac:dyDescent="0.15">
      <c r="B112" s="24">
        <v>2007</v>
      </c>
      <c r="C112" s="54">
        <v>0</v>
      </c>
      <c r="D112" s="54">
        <v>4.1039006902750086E-2</v>
      </c>
      <c r="E112" s="54">
        <f t="shared" si="25"/>
        <v>4.1039006902750086E-2</v>
      </c>
      <c r="M112" s="55">
        <f t="shared" si="26"/>
        <v>2.18671656440729E-3</v>
      </c>
    </row>
    <row r="113" spans="2:14" x14ac:dyDescent="0.15">
      <c r="B113" s="24">
        <v>2008</v>
      </c>
      <c r="C113" s="54">
        <v>0</v>
      </c>
      <c r="D113" s="54">
        <v>5.0311203987524158E-2</v>
      </c>
      <c r="E113" s="54">
        <f t="shared" si="25"/>
        <v>5.0311203987524158E-2</v>
      </c>
      <c r="M113" s="55">
        <f t="shared" si="26"/>
        <v>4.1606963274308517E-4</v>
      </c>
    </row>
    <row r="114" spans="2:14" x14ac:dyDescent="0.15">
      <c r="B114" s="24">
        <v>2009</v>
      </c>
      <c r="C114" s="54">
        <v>0</v>
      </c>
      <c r="D114" s="54">
        <v>6.7614545247733748E-2</v>
      </c>
      <c r="E114" s="54">
        <f t="shared" si="25"/>
        <v>6.7614545247733748E-2</v>
      </c>
      <c r="M114" s="55">
        <f t="shared" si="26"/>
        <v>1.9211563516277619E-4</v>
      </c>
    </row>
    <row r="115" spans="2:14" x14ac:dyDescent="0.15">
      <c r="B115" s="24">
        <v>2010</v>
      </c>
      <c r="C115" s="54">
        <v>0</v>
      </c>
      <c r="D115" s="54">
        <v>0.11223212107381668</v>
      </c>
      <c r="E115" s="54">
        <f t="shared" si="25"/>
        <v>0.11223212107381668</v>
      </c>
      <c r="M115" s="55">
        <f t="shared" si="26"/>
        <v>1.7558872167302148E-3</v>
      </c>
    </row>
    <row r="116" spans="2:14" x14ac:dyDescent="0.15">
      <c r="B116" s="24">
        <v>2011</v>
      </c>
      <c r="C116" s="54">
        <v>0</v>
      </c>
      <c r="D116" s="54">
        <v>0.133504861212145</v>
      </c>
      <c r="E116" s="54">
        <f t="shared" si="25"/>
        <v>0.133504861212145</v>
      </c>
      <c r="M116" s="55">
        <f t="shared" si="26"/>
        <v>9.7650713734423467E-4</v>
      </c>
    </row>
    <row r="117" spans="2:14" x14ac:dyDescent="0.15">
      <c r="B117" s="24">
        <v>2012</v>
      </c>
      <c r="C117" s="54">
        <v>-1.4404236756862301E-4</v>
      </c>
      <c r="D117" s="54">
        <v>0.15311912802732444</v>
      </c>
      <c r="E117" s="54">
        <f t="shared" si="25"/>
        <v>0.15297508565975582</v>
      </c>
      <c r="M117" s="55">
        <f t="shared" si="26"/>
        <v>-6.8238722778729555E-4</v>
      </c>
    </row>
    <row r="118" spans="2:14" x14ac:dyDescent="0.15">
      <c r="B118" s="24">
        <v>2013</v>
      </c>
      <c r="C118" s="54">
        <v>-1.3119580978348175E-4</v>
      </c>
      <c r="D118" s="54">
        <v>0.16276818188208608</v>
      </c>
      <c r="E118" s="54">
        <f t="shared" si="25"/>
        <v>0.16263698607230259</v>
      </c>
      <c r="M118" s="55">
        <f t="shared" si="26"/>
        <v>1.8761871061159785E-4</v>
      </c>
    </row>
    <row r="119" spans="2:14" x14ac:dyDescent="0.15">
      <c r="B119" s="24">
        <v>2014</v>
      </c>
      <c r="C119" s="54">
        <v>-1.1753055710872345E-4</v>
      </c>
      <c r="D119" s="54">
        <v>0.15981108777236624</v>
      </c>
      <c r="E119" s="54">
        <f t="shared" si="25"/>
        <v>0.15969355721525752</v>
      </c>
      <c r="M119" s="55">
        <f t="shared" si="26"/>
        <v>-8.6649661504742403E-4</v>
      </c>
    </row>
    <row r="120" spans="2:14" x14ac:dyDescent="0.15">
      <c r="B120" s="24">
        <v>2015</v>
      </c>
      <c r="C120" s="54">
        <v>-1.0729910830385971E-4</v>
      </c>
      <c r="D120" s="54">
        <v>0.1429249825434005</v>
      </c>
      <c r="E120" s="54">
        <f t="shared" si="25"/>
        <v>0.14281768343509663</v>
      </c>
      <c r="M120" s="55">
        <f t="shared" si="26"/>
        <v>3.3528080038982555E-3</v>
      </c>
    </row>
    <row r="121" spans="2:14" x14ac:dyDescent="0.15">
      <c r="B121" s="24">
        <v>2016</v>
      </c>
      <c r="C121" s="54">
        <v>-1.5227945646147515E-4</v>
      </c>
      <c r="D121" s="54">
        <v>0.13919579013352434</v>
      </c>
      <c r="E121" s="54">
        <f t="shared" si="25"/>
        <v>0.13904351067706286</v>
      </c>
      <c r="M121" s="55">
        <f t="shared" si="26"/>
        <v>1.4839392371388815E-3</v>
      </c>
      <c r="N121" s="50"/>
    </row>
    <row r="122" spans="2:14" x14ac:dyDescent="0.15">
      <c r="B122" s="24">
        <v>2017</v>
      </c>
      <c r="C122" s="54">
        <v>-4.9757403895482019E-5</v>
      </c>
      <c r="D122" s="54">
        <v>0.12549601968821755</v>
      </c>
      <c r="E122" s="54">
        <f t="shared" si="25"/>
        <v>0.12544626228432207</v>
      </c>
    </row>
    <row r="123" spans="2:14" x14ac:dyDescent="0.15">
      <c r="C123" s="56"/>
    </row>
    <row r="124" spans="2:14" x14ac:dyDescent="0.15">
      <c r="E124" s="50"/>
    </row>
    <row r="125" spans="2:14" x14ac:dyDescent="0.15">
      <c r="E125" s="50"/>
    </row>
    <row r="126" spans="2:14" x14ac:dyDescent="0.15">
      <c r="E126" s="50"/>
    </row>
    <row r="127" spans="2:14" x14ac:dyDescent="0.15">
      <c r="E127" s="50"/>
    </row>
    <row r="128" spans="2:14" x14ac:dyDescent="0.15">
      <c r="E128" s="50"/>
    </row>
    <row r="129" spans="5:5" x14ac:dyDescent="0.15">
      <c r="E129" s="50"/>
    </row>
    <row r="130" spans="5:5" x14ac:dyDescent="0.15">
      <c r="E130" s="50"/>
    </row>
    <row r="131" spans="5:5" x14ac:dyDescent="0.15">
      <c r="E131" s="50"/>
    </row>
    <row r="132" spans="5:5" x14ac:dyDescent="0.15">
      <c r="E132" s="50"/>
    </row>
    <row r="133" spans="5:5" x14ac:dyDescent="0.15">
      <c r="E133" s="50"/>
    </row>
    <row r="134" spans="5:5" x14ac:dyDescent="0.15">
      <c r="E134" s="50"/>
    </row>
  </sheetData>
  <mergeCells count="9">
    <mergeCell ref="W2:AB2"/>
    <mergeCell ref="B20:E20"/>
    <mergeCell ref="B37:E37"/>
    <mergeCell ref="B55:E55"/>
    <mergeCell ref="B72:E72"/>
    <mergeCell ref="B91:E91"/>
    <mergeCell ref="B108:E108"/>
    <mergeCell ref="B2:E2"/>
    <mergeCell ref="O2:T2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765E-ACBC-FF4F-B5C2-E24CD8D3D629}">
  <sheetPr published="0"/>
  <dimension ref="B2:AA104"/>
  <sheetViews>
    <sheetView workbookViewId="0">
      <selection activeCell="N18" sqref="N18"/>
    </sheetView>
  </sheetViews>
  <sheetFormatPr baseColWidth="10" defaultColWidth="10" defaultRowHeight="13" x14ac:dyDescent="0.15"/>
  <cols>
    <col min="1" max="1" width="10" style="41"/>
    <col min="2" max="2" width="4.33203125" style="41" bestFit="1" customWidth="1"/>
    <col min="3" max="3" width="8.6640625" style="41" bestFit="1" customWidth="1"/>
    <col min="4" max="4" width="9.33203125" style="41" bestFit="1" customWidth="1"/>
    <col min="5" max="5" width="11.1640625" style="41" bestFit="1" customWidth="1"/>
    <col min="6" max="12" width="10" style="41"/>
    <col min="13" max="13" width="10" style="41" customWidth="1"/>
    <col min="14" max="16384" width="10" style="41"/>
  </cols>
  <sheetData>
    <row r="2" spans="2:27" ht="16" x14ac:dyDescent="0.2">
      <c r="B2" s="58" t="s">
        <v>0</v>
      </c>
      <c r="C2" s="59"/>
      <c r="D2" s="59"/>
      <c r="E2" s="59"/>
      <c r="O2" s="60" t="s">
        <v>36</v>
      </c>
      <c r="P2" s="60"/>
      <c r="Q2" s="60"/>
      <c r="R2" s="60"/>
      <c r="S2" s="60"/>
      <c r="T2" s="60"/>
      <c r="V2" s="60" t="s">
        <v>42</v>
      </c>
      <c r="W2" s="60"/>
      <c r="X2" s="60"/>
      <c r="Y2" s="60"/>
      <c r="Z2" s="60"/>
      <c r="AA2" s="60"/>
    </row>
    <row r="3" spans="2:27" ht="16" x14ac:dyDescent="0.2">
      <c r="B3" s="24"/>
      <c r="C3" s="43" t="s">
        <v>49</v>
      </c>
      <c r="D3" s="43" t="s">
        <v>42</v>
      </c>
      <c r="E3" s="44" t="s">
        <v>36</v>
      </c>
      <c r="O3" s="45" t="s">
        <v>37</v>
      </c>
      <c r="P3" s="45" t="s">
        <v>38</v>
      </c>
      <c r="Q3" s="45" t="s">
        <v>1</v>
      </c>
      <c r="R3" s="45" t="s">
        <v>2</v>
      </c>
      <c r="S3" s="45" t="s">
        <v>39</v>
      </c>
      <c r="T3" s="45" t="s">
        <v>40</v>
      </c>
      <c r="V3" s="45" t="s">
        <v>37</v>
      </c>
      <c r="W3" s="45" t="s">
        <v>38</v>
      </c>
      <c r="X3" s="45" t="s">
        <v>1</v>
      </c>
      <c r="Y3" s="45" t="s">
        <v>2</v>
      </c>
      <c r="Z3" s="45" t="s">
        <v>39</v>
      </c>
      <c r="AA3" s="45" t="s">
        <v>40</v>
      </c>
    </row>
    <row r="4" spans="2:27" ht="16" x14ac:dyDescent="0.2">
      <c r="B4" s="24">
        <v>2005</v>
      </c>
      <c r="C4" s="57">
        <v>2107.5175295077483</v>
      </c>
      <c r="D4" s="57">
        <v>-1811.2589852746396</v>
      </c>
      <c r="E4" s="57">
        <f>+C4+D4</f>
        <v>296.25854423310875</v>
      </c>
      <c r="M4" s="47" t="s">
        <v>16</v>
      </c>
      <c r="N4" s="48">
        <v>35947.5</v>
      </c>
      <c r="O4" s="49">
        <f t="shared" ref="O4:O15" si="0">+E4/N4</f>
        <v>8.2414227479827174E-3</v>
      </c>
      <c r="P4" s="49">
        <f t="shared" ref="P4:P15" si="1">+E22/N4</f>
        <v>-0.1633851906057204</v>
      </c>
      <c r="Q4" s="49">
        <f t="shared" ref="Q4:Q15" si="2">+E39/N4</f>
        <v>1.6767001761807211E-2</v>
      </c>
      <c r="R4" s="49">
        <f t="shared" ref="R4:R15" si="3">+E57/N4</f>
        <v>-3.8776744785312705E-4</v>
      </c>
      <c r="S4" s="49">
        <f t="shared" ref="S4:S15" si="4">+E74/N4</f>
        <v>7.2656495073663452E-2</v>
      </c>
      <c r="T4" s="50">
        <f>+SUM(O4:S4)</f>
        <v>-6.6108038470120145E-2</v>
      </c>
      <c r="U4" s="50">
        <f>+Q4+O4+R4</f>
        <v>2.46206570619368E-2</v>
      </c>
      <c r="V4" s="49">
        <f>+D4/$N4</f>
        <v>-5.0386229508996162E-2</v>
      </c>
      <c r="W4" s="49">
        <f>+D22/N4</f>
        <v>-0.16469512412213377</v>
      </c>
      <c r="X4" s="49">
        <f>+D39/N4</f>
        <v>-6.487347352025738E-2</v>
      </c>
      <c r="Y4" s="49">
        <f>+D57/N4</f>
        <v>-6.6883280236768581E-4</v>
      </c>
      <c r="Z4" s="49">
        <f>+D74/N4</f>
        <v>-0.10373991256461303</v>
      </c>
      <c r="AA4" s="50">
        <f>+SUM(V4:Z4)</f>
        <v>-0.384363572518368</v>
      </c>
    </row>
    <row r="5" spans="2:27" ht="16" x14ac:dyDescent="0.2">
      <c r="B5" s="24">
        <v>2006</v>
      </c>
      <c r="C5" s="57">
        <v>2433.0859186813368</v>
      </c>
      <c r="D5" s="57">
        <v>-1626.7470009065951</v>
      </c>
      <c r="E5" s="57">
        <f t="shared" ref="E5:E15" si="5">+C5+D5</f>
        <v>806.33891777474173</v>
      </c>
      <c r="M5" s="47" t="s">
        <v>17</v>
      </c>
      <c r="N5" s="48">
        <v>37997.699999999997</v>
      </c>
      <c r="O5" s="49">
        <f t="shared" si="0"/>
        <v>2.1220729617180561E-2</v>
      </c>
      <c r="P5" s="49">
        <f t="shared" si="1"/>
        <v>-0.17666143571583889</v>
      </c>
      <c r="Q5" s="49">
        <f t="shared" si="2"/>
        <v>8.2268017695132471E-3</v>
      </c>
      <c r="R5" s="49">
        <f t="shared" si="3"/>
        <v>-7.362102989888125E-4</v>
      </c>
      <c r="S5" s="49">
        <f t="shared" si="4"/>
        <v>9.3068478797967938E-2</v>
      </c>
      <c r="T5" s="50">
        <f t="shared" ref="T5:T13" si="6">+SUM(O5:S5)</f>
        <v>-5.488163583016599E-2</v>
      </c>
      <c r="U5" s="50">
        <f t="shared" ref="U5:U15" si="7">+Q5+O5+R5</f>
        <v>2.8711321087704994E-2</v>
      </c>
      <c r="V5" s="49">
        <f t="shared" ref="V5:V15" si="8">+D5/$N5</f>
        <v>-4.2811722838661158E-2</v>
      </c>
      <c r="W5" s="49">
        <f t="shared" ref="W5:W15" si="9">+D23/N5</f>
        <v>-0.17869645193708095</v>
      </c>
      <c r="X5" s="49">
        <f t="shared" ref="X5:X15" si="10">+D40/N5</f>
        <v>-6.5620973297220747E-2</v>
      </c>
      <c r="Y5" s="49">
        <f t="shared" ref="Y5:Y15" si="11">+D58/N5</f>
        <v>-1.1899747882461282E-3</v>
      </c>
      <c r="Z5" s="49">
        <f t="shared" ref="Z5:Z15" si="12">+D75/N5</f>
        <v>-0.11751142519302481</v>
      </c>
      <c r="AA5" s="50">
        <f t="shared" ref="AA5:AA13" si="13">+SUM(V5:Z5)</f>
        <v>-0.4058305480542338</v>
      </c>
    </row>
    <row r="6" spans="2:27" ht="16" x14ac:dyDescent="0.2">
      <c r="B6" s="24">
        <v>2007</v>
      </c>
      <c r="C6" s="57">
        <v>3139.2509400576487</v>
      </c>
      <c r="D6" s="57">
        <v>-1600.5315375807309</v>
      </c>
      <c r="E6" s="57">
        <f t="shared" si="5"/>
        <v>1538.7194024769178</v>
      </c>
      <c r="M6" s="47" t="s">
        <v>18</v>
      </c>
      <c r="N6" s="48">
        <v>43971.8</v>
      </c>
      <c r="O6" s="49">
        <f t="shared" si="0"/>
        <v>3.4993323049702714E-2</v>
      </c>
      <c r="P6" s="49">
        <f t="shared" si="1"/>
        <v>-0.15432719492018382</v>
      </c>
      <c r="Q6" s="49">
        <f t="shared" si="2"/>
        <v>1.0202789013296821E-2</v>
      </c>
      <c r="R6" s="49">
        <f t="shared" si="3"/>
        <v>-4.7068248315884387E-4</v>
      </c>
      <c r="S6" s="49">
        <f t="shared" si="4"/>
        <v>8.1146149095910461E-2</v>
      </c>
      <c r="T6" s="50">
        <f t="shared" si="6"/>
        <v>-2.8455616244432672E-2</v>
      </c>
      <c r="U6" s="50">
        <f t="shared" si="7"/>
        <v>4.4725429579840686E-2</v>
      </c>
      <c r="V6" s="49">
        <f t="shared" si="8"/>
        <v>-3.6399045242194561E-2</v>
      </c>
      <c r="W6" s="49">
        <f t="shared" si="9"/>
        <v>-0.15827147343068804</v>
      </c>
      <c r="X6" s="49">
        <f t="shared" si="10"/>
        <v>-6.6265569619212442E-2</v>
      </c>
      <c r="Y6" s="49">
        <f t="shared" si="11"/>
        <v>-1.1424603987433173E-3</v>
      </c>
      <c r="Z6" s="49">
        <f t="shared" si="12"/>
        <v>-0.117846416310985</v>
      </c>
      <c r="AA6" s="50">
        <f t="shared" si="13"/>
        <v>-0.37992496500182338</v>
      </c>
    </row>
    <row r="7" spans="2:27" ht="16" x14ac:dyDescent="0.2">
      <c r="B7" s="24">
        <v>2008</v>
      </c>
      <c r="C7" s="57">
        <v>2905.3423103152691</v>
      </c>
      <c r="D7" s="57">
        <v>-1496.5087965442428</v>
      </c>
      <c r="E7" s="57">
        <f t="shared" si="5"/>
        <v>1408.8335137710262</v>
      </c>
      <c r="M7" s="47" t="s">
        <v>19</v>
      </c>
      <c r="N7" s="48">
        <v>48069.9</v>
      </c>
      <c r="O7" s="49">
        <f t="shared" si="0"/>
        <v>2.9308018401765473E-2</v>
      </c>
      <c r="P7" s="49">
        <f t="shared" si="1"/>
        <v>-0.15409511084121083</v>
      </c>
      <c r="Q7" s="49">
        <f t="shared" si="2"/>
        <v>7.6403242443475851E-3</v>
      </c>
      <c r="R7" s="49">
        <f t="shared" si="3"/>
        <v>-2.6484836109169673E-4</v>
      </c>
      <c r="S7" s="49">
        <f t="shared" si="4"/>
        <v>7.0120795468182978E-2</v>
      </c>
      <c r="T7" s="50">
        <f t="shared" si="6"/>
        <v>-4.7290821088006488E-2</v>
      </c>
      <c r="U7" s="50">
        <f t="shared" si="7"/>
        <v>3.6683494285021365E-2</v>
      </c>
      <c r="V7" s="49">
        <f t="shared" si="8"/>
        <v>-3.1131930720559909E-2</v>
      </c>
      <c r="W7" s="49">
        <f t="shared" si="9"/>
        <v>-0.15671471340513499</v>
      </c>
      <c r="X7" s="49">
        <f t="shared" si="10"/>
        <v>-6.6124118934167642E-2</v>
      </c>
      <c r="Y7" s="49">
        <f t="shared" si="11"/>
        <v>-8.7685673983834127E-4</v>
      </c>
      <c r="Z7" s="49">
        <f t="shared" si="12"/>
        <v>-0.10934360550253569</v>
      </c>
      <c r="AA7" s="50">
        <f t="shared" si="13"/>
        <v>-0.36419122530223658</v>
      </c>
    </row>
    <row r="8" spans="2:27" ht="16" x14ac:dyDescent="0.2">
      <c r="B8" s="24">
        <v>2009</v>
      </c>
      <c r="C8" s="57">
        <v>3538.5347091258145</v>
      </c>
      <c r="D8" s="57">
        <v>-1922.3231265132815</v>
      </c>
      <c r="E8" s="57">
        <f t="shared" si="5"/>
        <v>1616.211582612533</v>
      </c>
      <c r="M8" s="47" t="s">
        <v>20</v>
      </c>
      <c r="N8" s="48">
        <v>48135.9</v>
      </c>
      <c r="O8" s="49">
        <f t="shared" si="0"/>
        <v>3.3576012552222624E-2</v>
      </c>
      <c r="P8" s="49">
        <f t="shared" si="1"/>
        <v>-0.18503644871917665</v>
      </c>
      <c r="Q8" s="49">
        <f t="shared" si="2"/>
        <v>7.8001585959124667E-3</v>
      </c>
      <c r="R8" s="49">
        <f t="shared" si="3"/>
        <v>-1.2904431030193593E-4</v>
      </c>
      <c r="S8" s="49">
        <f t="shared" si="4"/>
        <v>7.7836403149857972E-2</v>
      </c>
      <c r="T8" s="50">
        <f t="shared" si="6"/>
        <v>-6.5952918731485552E-2</v>
      </c>
      <c r="U8" s="50">
        <f t="shared" si="7"/>
        <v>4.1247126837833152E-2</v>
      </c>
      <c r="V8" s="49">
        <f t="shared" si="8"/>
        <v>-3.993533156154308E-2</v>
      </c>
      <c r="W8" s="49">
        <f t="shared" si="9"/>
        <v>-0.18930284735836744</v>
      </c>
      <c r="X8" s="49">
        <f t="shared" si="10"/>
        <v>-7.0178096735493953E-2</v>
      </c>
      <c r="Y8" s="49">
        <f t="shared" si="11"/>
        <v>-1.1081186480730227E-3</v>
      </c>
      <c r="Z8" s="49">
        <f t="shared" si="12"/>
        <v>-9.4798491201325455E-2</v>
      </c>
      <c r="AA8" s="50">
        <f t="shared" si="13"/>
        <v>-0.39532288550480293</v>
      </c>
    </row>
    <row r="9" spans="2:27" ht="16" x14ac:dyDescent="0.2">
      <c r="B9" s="24">
        <v>2010</v>
      </c>
      <c r="C9" s="57">
        <v>3992.7099956794009</v>
      </c>
      <c r="D9" s="57">
        <v>-2331.3823984444234</v>
      </c>
      <c r="E9" s="57">
        <f t="shared" si="5"/>
        <v>1661.3275972349775</v>
      </c>
      <c r="M9" s="47" t="s">
        <v>21</v>
      </c>
      <c r="N9" s="48">
        <v>53804</v>
      </c>
      <c r="O9" s="49">
        <f t="shared" si="0"/>
        <v>3.0877399398464379E-2</v>
      </c>
      <c r="P9" s="49">
        <f t="shared" si="1"/>
        <v>-0.19185663280194973</v>
      </c>
      <c r="Q9" s="49">
        <f t="shared" si="2"/>
        <v>-4.6778703681360691E-3</v>
      </c>
      <c r="R9" s="49">
        <f t="shared" si="3"/>
        <v>-4.8832096026730717E-4</v>
      </c>
      <c r="S9" s="49">
        <f t="shared" si="4"/>
        <v>5.7394202660052025E-2</v>
      </c>
      <c r="T9" s="50">
        <f t="shared" si="6"/>
        <v>-0.10875122207183671</v>
      </c>
      <c r="U9" s="50">
        <f t="shared" si="7"/>
        <v>2.5711208070061001E-2</v>
      </c>
      <c r="V9" s="49">
        <f t="shared" si="8"/>
        <v>-4.3331023686796956E-2</v>
      </c>
      <c r="W9" s="49">
        <f t="shared" si="9"/>
        <v>-0.20184094987940257</v>
      </c>
      <c r="X9" s="49">
        <f t="shared" si="10"/>
        <v>-8.3560328615356283E-2</v>
      </c>
      <c r="Y9" s="49">
        <f t="shared" si="11"/>
        <v>-9.1688978184086337E-4</v>
      </c>
      <c r="Z9" s="49">
        <f t="shared" si="12"/>
        <v>-9.9665543152714101E-2</v>
      </c>
      <c r="AA9" s="50">
        <f t="shared" si="13"/>
        <v>-0.42931473511611074</v>
      </c>
    </row>
    <row r="10" spans="2:27" ht="16" x14ac:dyDescent="0.2">
      <c r="B10" s="24">
        <v>2011</v>
      </c>
      <c r="C10" s="57">
        <v>4332.4514516327899</v>
      </c>
      <c r="D10" s="57">
        <v>-2426.5363328577291</v>
      </c>
      <c r="E10" s="57">
        <f t="shared" si="5"/>
        <v>1905.9151187750608</v>
      </c>
      <c r="M10" s="47" t="s">
        <v>22</v>
      </c>
      <c r="N10" s="48">
        <v>58304.1</v>
      </c>
      <c r="O10" s="49">
        <f t="shared" si="0"/>
        <v>3.2689212572959037E-2</v>
      </c>
      <c r="P10" s="49">
        <f t="shared" si="1"/>
        <v>-0.21203005606882203</v>
      </c>
      <c r="Q10" s="49">
        <f t="shared" si="2"/>
        <v>-1.0540431348446169E-2</v>
      </c>
      <c r="R10" s="49">
        <f t="shared" si="3"/>
        <v>5.8690220974633904E-4</v>
      </c>
      <c r="S10" s="49">
        <f t="shared" si="4"/>
        <v>6.1794313793571816E-2</v>
      </c>
      <c r="T10" s="50">
        <f t="shared" si="6"/>
        <v>-0.12750005884099103</v>
      </c>
      <c r="U10" s="50">
        <f t="shared" si="7"/>
        <v>2.2735683434259205E-2</v>
      </c>
      <c r="V10" s="49">
        <f t="shared" si="8"/>
        <v>-4.1618622581563375E-2</v>
      </c>
      <c r="W10" s="49">
        <f t="shared" si="9"/>
        <v>-0.2143569341496743</v>
      </c>
      <c r="X10" s="49">
        <f t="shared" si="10"/>
        <v>-8.585167176611419E-2</v>
      </c>
      <c r="Y10" s="49">
        <f t="shared" si="11"/>
        <v>-1.1602258849781428E-3</v>
      </c>
      <c r="Z10" s="49">
        <f t="shared" si="12"/>
        <v>-9.5176866990309805E-2</v>
      </c>
      <c r="AA10" s="50">
        <f t="shared" si="13"/>
        <v>-0.43816432137263983</v>
      </c>
    </row>
    <row r="11" spans="2:27" ht="16" x14ac:dyDescent="0.2">
      <c r="B11" s="24">
        <v>2012</v>
      </c>
      <c r="C11" s="57">
        <v>3801.1285428990686</v>
      </c>
      <c r="D11" s="57">
        <v>-2195.9263387303272</v>
      </c>
      <c r="E11" s="57">
        <f t="shared" si="5"/>
        <v>1605.2022041687414</v>
      </c>
      <c r="M11" s="47" t="s">
        <v>23</v>
      </c>
      <c r="N11" s="48">
        <v>60530</v>
      </c>
      <c r="O11" s="49">
        <f t="shared" si="0"/>
        <v>2.6519117861700667E-2</v>
      </c>
      <c r="P11" s="49">
        <f t="shared" si="1"/>
        <v>-0.24069577071980994</v>
      </c>
      <c r="Q11" s="49">
        <f t="shared" si="2"/>
        <v>-5.3135091863841096E-3</v>
      </c>
      <c r="R11" s="49">
        <f t="shared" si="3"/>
        <v>1.7594879888072831E-3</v>
      </c>
      <c r="S11" s="49">
        <f t="shared" si="4"/>
        <v>6.9602132985285212E-2</v>
      </c>
      <c r="T11" s="50">
        <f t="shared" si="6"/>
        <v>-0.14812854107040085</v>
      </c>
      <c r="U11" s="50">
        <f t="shared" si="7"/>
        <v>2.296509666412384E-2</v>
      </c>
      <c r="V11" s="49">
        <f t="shared" si="8"/>
        <v>-3.6278313872960967E-2</v>
      </c>
      <c r="W11" s="49">
        <f t="shared" si="9"/>
        <v>-0.243730591001868</v>
      </c>
      <c r="X11" s="49">
        <f t="shared" si="10"/>
        <v>-9.0459418474562486E-2</v>
      </c>
      <c r="Y11" s="49">
        <f t="shared" si="11"/>
        <v>-8.9904801550878561E-4</v>
      </c>
      <c r="Z11" s="49">
        <f t="shared" si="12"/>
        <v>-0.10719275664767815</v>
      </c>
      <c r="AA11" s="50">
        <f t="shared" si="13"/>
        <v>-0.47856012801257841</v>
      </c>
    </row>
    <row r="12" spans="2:27" ht="16" x14ac:dyDescent="0.2">
      <c r="B12" s="24">
        <v>2013</v>
      </c>
      <c r="C12" s="57">
        <v>4952.6109145620594</v>
      </c>
      <c r="D12" s="57">
        <v>-2739.4946665641642</v>
      </c>
      <c r="E12" s="57">
        <f t="shared" si="5"/>
        <v>2213.1162479978952</v>
      </c>
      <c r="M12" s="47" t="s">
        <v>24</v>
      </c>
      <c r="N12" s="48">
        <v>61292.1</v>
      </c>
      <c r="O12" s="49">
        <f t="shared" si="0"/>
        <v>3.6107691660065416E-2</v>
      </c>
      <c r="P12" s="49">
        <f t="shared" si="1"/>
        <v>-0.26900773564846819</v>
      </c>
      <c r="Q12" s="49">
        <f t="shared" si="2"/>
        <v>1.6321174751063078E-3</v>
      </c>
      <c r="R12" s="49">
        <f t="shared" si="3"/>
        <v>6.6945663500819579E-4</v>
      </c>
      <c r="S12" s="49">
        <f t="shared" si="4"/>
        <v>6.9073269425575942E-2</v>
      </c>
      <c r="T12" s="50">
        <f t="shared" si="6"/>
        <v>-0.16152520045271235</v>
      </c>
      <c r="U12" s="50">
        <f t="shared" si="7"/>
        <v>3.8409265770179925E-2</v>
      </c>
      <c r="V12" s="49">
        <f t="shared" si="8"/>
        <v>-4.4695722068001653E-2</v>
      </c>
      <c r="W12" s="49">
        <f t="shared" si="9"/>
        <v>-0.27802377464306893</v>
      </c>
      <c r="X12" s="49">
        <f t="shared" si="10"/>
        <v>-0.10499645677658576</v>
      </c>
      <c r="Y12" s="49">
        <f t="shared" si="11"/>
        <v>-1.0015952096629835E-3</v>
      </c>
      <c r="Z12" s="49">
        <f t="shared" si="12"/>
        <v>-0.11255610134278965</v>
      </c>
      <c r="AA12" s="50">
        <f t="shared" si="13"/>
        <v>-0.54127365004010897</v>
      </c>
    </row>
    <row r="13" spans="2:27" ht="16" x14ac:dyDescent="0.2">
      <c r="B13" s="24">
        <v>2014</v>
      </c>
      <c r="C13" s="57">
        <v>5124.0734508421938</v>
      </c>
      <c r="D13" s="57">
        <v>-2288.8128110338034</v>
      </c>
      <c r="E13" s="57">
        <f t="shared" si="5"/>
        <v>2835.2606398083904</v>
      </c>
      <c r="M13" s="47" t="s">
        <v>25</v>
      </c>
      <c r="N13" s="48">
        <v>64057.9</v>
      </c>
      <c r="O13" s="49">
        <f t="shared" si="0"/>
        <v>4.426090520932454E-2</v>
      </c>
      <c r="P13" s="49">
        <f t="shared" si="1"/>
        <v>-0.2736077291749538</v>
      </c>
      <c r="Q13" s="49">
        <f t="shared" si="2"/>
        <v>-2.1972299829274553E-3</v>
      </c>
      <c r="R13" s="49">
        <f t="shared" si="3"/>
        <v>1.227133743630118E-3</v>
      </c>
      <c r="S13" s="49">
        <f t="shared" si="4"/>
        <v>6.4726185251170743E-2</v>
      </c>
      <c r="T13" s="50">
        <f t="shared" si="6"/>
        <v>-0.16559073495375584</v>
      </c>
      <c r="U13" s="50">
        <f t="shared" si="7"/>
        <v>4.3290808970027204E-2</v>
      </c>
      <c r="V13" s="49">
        <f t="shared" si="8"/>
        <v>-3.5730375348455121E-2</v>
      </c>
      <c r="W13" s="49">
        <f t="shared" si="9"/>
        <v>-0.27625753629331384</v>
      </c>
      <c r="X13" s="49">
        <f t="shared" si="10"/>
        <v>-0.10837453556147084</v>
      </c>
      <c r="Y13" s="49">
        <f t="shared" si="11"/>
        <v>-8.3869539115622176E-4</v>
      </c>
      <c r="Z13" s="49">
        <f t="shared" si="12"/>
        <v>-0.11329659419954789</v>
      </c>
      <c r="AA13" s="50">
        <f t="shared" si="13"/>
        <v>-0.53449773679394386</v>
      </c>
    </row>
    <row r="14" spans="2:27" ht="16" x14ac:dyDescent="0.2">
      <c r="B14" s="24">
        <v>2015</v>
      </c>
      <c r="C14" s="57">
        <v>5542.966980201707</v>
      </c>
      <c r="D14" s="57">
        <v>-2412.310937281562</v>
      </c>
      <c r="E14" s="57">
        <f t="shared" si="5"/>
        <v>3130.656042920145</v>
      </c>
      <c r="M14" s="47" t="s">
        <v>26</v>
      </c>
      <c r="N14" s="48">
        <v>65815.199999999997</v>
      </c>
      <c r="O14" s="49">
        <f t="shared" si="0"/>
        <v>4.7567371107588297E-2</v>
      </c>
      <c r="P14" s="49">
        <f t="shared" si="1"/>
        <v>-0.26813222746309617</v>
      </c>
      <c r="Q14" s="49">
        <f t="shared" si="2"/>
        <v>-1.929215768246458E-3</v>
      </c>
      <c r="R14" s="49">
        <f t="shared" si="3"/>
        <v>-1.0975514316743113E-3</v>
      </c>
      <c r="S14" s="49">
        <f t="shared" si="4"/>
        <v>6.8896232099111901E-2</v>
      </c>
      <c r="T14" s="50">
        <f>+SUM(O14:S14)</f>
        <v>-0.15469539145631672</v>
      </c>
      <c r="U14" s="50">
        <f t="shared" si="7"/>
        <v>4.4540603907667529E-2</v>
      </c>
      <c r="V14" s="49">
        <f t="shared" si="8"/>
        <v>-3.665279353829453E-2</v>
      </c>
      <c r="W14" s="49">
        <f t="shared" si="9"/>
        <v>-0.27087184968743377</v>
      </c>
      <c r="X14" s="49">
        <f t="shared" si="10"/>
        <v>-0.11497982873822366</v>
      </c>
      <c r="Y14" s="49">
        <f t="shared" si="11"/>
        <v>-3.0336720626399599E-3</v>
      </c>
      <c r="Z14" s="49">
        <f t="shared" si="12"/>
        <v>-0.10970702015642658</v>
      </c>
      <c r="AA14" s="50">
        <f>+SUM(V14:Z14)</f>
        <v>-0.53524516418301848</v>
      </c>
    </row>
    <row r="15" spans="2:27" ht="16" x14ac:dyDescent="0.2">
      <c r="B15" s="24">
        <v>2016</v>
      </c>
      <c r="C15" s="57">
        <v>6334.1583503264328</v>
      </c>
      <c r="D15" s="57">
        <v>-3047.5773836176022</v>
      </c>
      <c r="E15" s="57">
        <f t="shared" si="5"/>
        <v>3286.5809667088306</v>
      </c>
      <c r="M15" s="47" t="s">
        <v>27</v>
      </c>
      <c r="N15" s="48">
        <v>71256.944981200155</v>
      </c>
      <c r="O15" s="49">
        <f t="shared" si="0"/>
        <v>4.6122956402017162E-2</v>
      </c>
      <c r="P15" s="49">
        <f t="shared" si="1"/>
        <v>-0.26868217903389013</v>
      </c>
      <c r="Q15" s="49">
        <f t="shared" si="2"/>
        <v>-2.0925555884330803E-3</v>
      </c>
      <c r="R15" s="49">
        <f t="shared" si="3"/>
        <v>3.859321365407394E-4</v>
      </c>
      <c r="S15" s="49">
        <f t="shared" si="4"/>
        <v>7.3355973513783618E-2</v>
      </c>
      <c r="T15" s="50">
        <f>+SUM(O15:S15)</f>
        <v>-0.1509098725699817</v>
      </c>
      <c r="U15" s="50">
        <f t="shared" si="7"/>
        <v>4.4416332950124822E-2</v>
      </c>
      <c r="V15" s="49">
        <f t="shared" si="8"/>
        <v>-4.2768847084612593E-2</v>
      </c>
      <c r="W15" s="49">
        <f t="shared" si="9"/>
        <v>-0.27196775354567154</v>
      </c>
      <c r="X15" s="49">
        <f t="shared" si="10"/>
        <v>-0.11367233703732316</v>
      </c>
      <c r="Y15" s="49">
        <f t="shared" si="11"/>
        <v>-1.9173621955309193E-3</v>
      </c>
      <c r="Z15" s="49">
        <f t="shared" si="12"/>
        <v>-0.10235313809836874</v>
      </c>
      <c r="AA15" s="50">
        <f>+SUM(V15:Z15)</f>
        <v>-0.53267943796150696</v>
      </c>
    </row>
    <row r="16" spans="2:27" ht="16" x14ac:dyDescent="0.2">
      <c r="B16" s="24"/>
      <c r="C16" s="24"/>
      <c r="D16" s="53"/>
      <c r="E16" s="53"/>
      <c r="M16" s="47"/>
      <c r="N16" s="48"/>
      <c r="O16" s="49"/>
      <c r="P16" s="49"/>
      <c r="Q16" s="49"/>
      <c r="R16" s="49"/>
      <c r="S16" s="49"/>
      <c r="T16" s="50"/>
      <c r="U16" s="50"/>
      <c r="V16" s="49"/>
      <c r="W16" s="49"/>
      <c r="X16" s="49"/>
      <c r="Y16" s="49"/>
      <c r="Z16" s="49"/>
      <c r="AA16" s="50"/>
    </row>
    <row r="17" spans="2:5" x14ac:dyDescent="0.15">
      <c r="B17" s="24"/>
      <c r="C17" s="24"/>
      <c r="D17" s="53"/>
      <c r="E17" s="53"/>
    </row>
    <row r="18" spans="2:5" x14ac:dyDescent="0.15">
      <c r="B18" s="24"/>
      <c r="C18" s="24"/>
      <c r="D18" s="53"/>
      <c r="E18" s="53"/>
    </row>
    <row r="19" spans="2:5" x14ac:dyDescent="0.15">
      <c r="B19" s="24"/>
      <c r="C19" s="24"/>
      <c r="D19" s="53"/>
      <c r="E19" s="53"/>
    </row>
    <row r="20" spans="2:5" ht="16" x14ac:dyDescent="0.2">
      <c r="B20" s="58" t="s">
        <v>3</v>
      </c>
      <c r="C20" s="59"/>
      <c r="D20" s="59"/>
      <c r="E20" s="59"/>
    </row>
    <row r="21" spans="2:5" ht="16" x14ac:dyDescent="0.2">
      <c r="B21" s="24"/>
      <c r="C21" s="43" t="s">
        <v>49</v>
      </c>
      <c r="D21" s="43" t="s">
        <v>42</v>
      </c>
      <c r="E21" s="44" t="s">
        <v>36</v>
      </c>
    </row>
    <row r="22" spans="2:5" x14ac:dyDescent="0.15">
      <c r="B22" s="24">
        <v>2005</v>
      </c>
      <c r="C22" s="57">
        <v>47.088835081268925</v>
      </c>
      <c r="D22" s="57">
        <v>-5920.3779743804034</v>
      </c>
      <c r="E22" s="57">
        <f>+C22+D22</f>
        <v>-5873.2891392991341</v>
      </c>
    </row>
    <row r="23" spans="2:5" x14ac:dyDescent="0.15">
      <c r="B23" s="24">
        <v>2006</v>
      </c>
      <c r="C23" s="57">
        <v>77.325935869889605</v>
      </c>
      <c r="D23" s="57">
        <v>-6790.0541717696206</v>
      </c>
      <c r="E23" s="57">
        <f t="shared" ref="E23:E33" si="14">+C23+D23</f>
        <v>-6712.7282358997309</v>
      </c>
    </row>
    <row r="24" spans="2:5" x14ac:dyDescent="0.15">
      <c r="B24" s="24">
        <v>2007</v>
      </c>
      <c r="C24" s="57">
        <v>173.43702580819004</v>
      </c>
      <c r="D24" s="57">
        <v>-6959.481575399529</v>
      </c>
      <c r="E24" s="57">
        <f t="shared" si="14"/>
        <v>-6786.0445495913391</v>
      </c>
    </row>
    <row r="25" spans="2:5" x14ac:dyDescent="0.15">
      <c r="B25" s="24">
        <v>2008</v>
      </c>
      <c r="C25" s="57">
        <v>125.92403328757801</v>
      </c>
      <c r="D25" s="57">
        <v>-7533.2606019134982</v>
      </c>
      <c r="E25" s="57">
        <f t="shared" si="14"/>
        <v>-7407.3365686259203</v>
      </c>
    </row>
    <row r="26" spans="2:5" x14ac:dyDescent="0.15">
      <c r="B26" s="24">
        <v>2009</v>
      </c>
      <c r="C26" s="57">
        <v>205.36693825622388</v>
      </c>
      <c r="D26" s="57">
        <v>-9112.2629301576399</v>
      </c>
      <c r="E26" s="57">
        <f t="shared" si="14"/>
        <v>-8906.895991901416</v>
      </c>
    </row>
    <row r="27" spans="2:5" x14ac:dyDescent="0.15">
      <c r="B27" s="24">
        <v>2010</v>
      </c>
      <c r="C27" s="57">
        <v>537.19619603527292</v>
      </c>
      <c r="D27" s="57">
        <v>-10859.850467311377</v>
      </c>
      <c r="E27" s="57">
        <f t="shared" si="14"/>
        <v>-10322.654271276104</v>
      </c>
    </row>
    <row r="28" spans="2:5" x14ac:dyDescent="0.15">
      <c r="B28" s="24">
        <v>2011</v>
      </c>
      <c r="C28" s="57">
        <v>135.66653231381846</v>
      </c>
      <c r="D28" s="57">
        <v>-12497.888124356024</v>
      </c>
      <c r="E28" s="57">
        <f t="shared" si="14"/>
        <v>-12362.221592042206</v>
      </c>
    </row>
    <row r="29" spans="2:5" x14ac:dyDescent="0.15">
      <c r="B29" s="24">
        <v>2012</v>
      </c>
      <c r="C29" s="57">
        <v>183.69767167297545</v>
      </c>
      <c r="D29" s="57">
        <v>-14753.01267334307</v>
      </c>
      <c r="E29" s="57">
        <f t="shared" si="14"/>
        <v>-14569.315001670095</v>
      </c>
    </row>
    <row r="30" spans="2:5" x14ac:dyDescent="0.15">
      <c r="B30" s="24">
        <v>2013</v>
      </c>
      <c r="C30" s="57">
        <v>552.61196366096976</v>
      </c>
      <c r="D30" s="57">
        <v>-17040.660997800445</v>
      </c>
      <c r="E30" s="57">
        <f t="shared" si="14"/>
        <v>-16488.049034139476</v>
      </c>
    </row>
    <row r="31" spans="2:5" x14ac:dyDescent="0.15">
      <c r="B31" s="24">
        <v>2014</v>
      </c>
      <c r="C31" s="57">
        <v>169.74107940719358</v>
      </c>
      <c r="D31" s="57">
        <v>-17696.477634123468</v>
      </c>
      <c r="E31" s="57">
        <f t="shared" si="14"/>
        <v>-17526.736554716274</v>
      </c>
    </row>
    <row r="32" spans="2:5" x14ac:dyDescent="0.15">
      <c r="B32" s="24">
        <v>2015</v>
      </c>
      <c r="C32" s="57">
        <v>180.30878461922495</v>
      </c>
      <c r="D32" s="57">
        <v>-17827.484961548391</v>
      </c>
      <c r="E32" s="57">
        <f t="shared" si="14"/>
        <v>-17647.176176929166</v>
      </c>
    </row>
    <row r="33" spans="2:5" x14ac:dyDescent="0.15">
      <c r="B33" s="24">
        <v>2016</v>
      </c>
      <c r="C33" s="57">
        <v>234.12000221764117</v>
      </c>
      <c r="D33" s="57">
        <v>-19379.591251064521</v>
      </c>
      <c r="E33" s="57">
        <f t="shared" si="14"/>
        <v>-19145.471248846879</v>
      </c>
    </row>
    <row r="34" spans="2:5" x14ac:dyDescent="0.15">
      <c r="B34" s="24"/>
      <c r="C34" s="24"/>
      <c r="D34" s="53"/>
      <c r="E34" s="53"/>
    </row>
    <row r="35" spans="2:5" x14ac:dyDescent="0.15">
      <c r="B35" s="24"/>
      <c r="C35" s="24"/>
      <c r="D35" s="53"/>
      <c r="E35" s="53"/>
    </row>
    <row r="36" spans="2:5" x14ac:dyDescent="0.15">
      <c r="B36" s="24"/>
      <c r="C36" s="24"/>
      <c r="D36" s="53"/>
      <c r="E36" s="53"/>
    </row>
    <row r="37" spans="2:5" ht="16" x14ac:dyDescent="0.2">
      <c r="B37" s="58" t="s">
        <v>1</v>
      </c>
      <c r="C37" s="59"/>
      <c r="D37" s="59"/>
      <c r="E37" s="59"/>
    </row>
    <row r="38" spans="2:5" ht="16" x14ac:dyDescent="0.2">
      <c r="B38" s="24"/>
      <c r="C38" s="43" t="s">
        <v>49</v>
      </c>
      <c r="D38" s="43" t="s">
        <v>42</v>
      </c>
      <c r="E38" s="44" t="s">
        <v>36</v>
      </c>
    </row>
    <row r="39" spans="2:5" x14ac:dyDescent="0.15">
      <c r="B39" s="24">
        <v>2005</v>
      </c>
      <c r="C39" s="57">
        <v>2934.7709852020171</v>
      </c>
      <c r="D39" s="57">
        <v>-2332.0391893694523</v>
      </c>
      <c r="E39" s="57">
        <f>+C39+D39</f>
        <v>602.73179583256479</v>
      </c>
    </row>
    <row r="40" spans="2:5" x14ac:dyDescent="0.15">
      <c r="B40" s="24">
        <v>2006</v>
      </c>
      <c r="C40" s="57">
        <v>2806.0456026532379</v>
      </c>
      <c r="D40" s="57">
        <v>-2493.4460570558044</v>
      </c>
      <c r="E40" s="57">
        <f t="shared" ref="E40:E50" si="15">+C40+D40</f>
        <v>312.59954559743346</v>
      </c>
    </row>
    <row r="41" spans="2:5" x14ac:dyDescent="0.15">
      <c r="B41" s="24">
        <v>2007</v>
      </c>
      <c r="C41" s="57">
        <v>3362.451372116971</v>
      </c>
      <c r="D41" s="57">
        <v>-2913.8163741820858</v>
      </c>
      <c r="E41" s="57">
        <f t="shared" si="15"/>
        <v>448.63499793488518</v>
      </c>
    </row>
    <row r="42" spans="2:5" x14ac:dyDescent="0.15">
      <c r="B42" s="24">
        <v>2008</v>
      </c>
      <c r="C42" s="57">
        <v>3545.849407146909</v>
      </c>
      <c r="D42" s="57">
        <v>-3178.579784753545</v>
      </c>
      <c r="E42" s="57">
        <f t="shared" si="15"/>
        <v>367.26962239336399</v>
      </c>
    </row>
    <row r="43" spans="2:5" x14ac:dyDescent="0.15">
      <c r="B43" s="24">
        <v>2009</v>
      </c>
      <c r="C43" s="57">
        <v>3753.5535008070465</v>
      </c>
      <c r="D43" s="57">
        <v>-3378.0858466500636</v>
      </c>
      <c r="E43" s="57">
        <f t="shared" si="15"/>
        <v>375.46765415698292</v>
      </c>
    </row>
    <row r="44" spans="2:5" x14ac:dyDescent="0.15">
      <c r="B44" s="24">
        <v>2010</v>
      </c>
      <c r="C44" s="57">
        <v>4244.1917835334361</v>
      </c>
      <c r="D44" s="57">
        <v>-4495.8799208206292</v>
      </c>
      <c r="E44" s="57">
        <f t="shared" si="15"/>
        <v>-251.68813728719306</v>
      </c>
    </row>
    <row r="45" spans="2:5" x14ac:dyDescent="0.15">
      <c r="B45" s="24">
        <v>2011</v>
      </c>
      <c r="C45" s="57">
        <v>4390.954092435758</v>
      </c>
      <c r="D45" s="57">
        <v>-5005.5044558186983</v>
      </c>
      <c r="E45" s="57">
        <f t="shared" si="15"/>
        <v>-614.5503633829403</v>
      </c>
    </row>
    <row r="46" spans="2:5" x14ac:dyDescent="0.15">
      <c r="B46" s="24">
        <v>2012</v>
      </c>
      <c r="C46" s="57">
        <v>5153.8818892134368</v>
      </c>
      <c r="D46" s="57">
        <v>-5475.508600265267</v>
      </c>
      <c r="E46" s="57">
        <f t="shared" si="15"/>
        <v>-321.62671105183017</v>
      </c>
    </row>
    <row r="47" spans="2:5" x14ac:dyDescent="0.15">
      <c r="B47" s="24">
        <v>2013</v>
      </c>
      <c r="C47" s="57">
        <v>6535.4892358921352</v>
      </c>
      <c r="D47" s="57">
        <v>-6435.4533283961719</v>
      </c>
      <c r="E47" s="57">
        <f t="shared" si="15"/>
        <v>100.03590749596333</v>
      </c>
    </row>
    <row r="48" spans="2:5" x14ac:dyDescent="0.15">
      <c r="B48" s="24">
        <v>2014</v>
      </c>
      <c r="C48" s="57">
        <v>6801.4952230197741</v>
      </c>
      <c r="D48" s="57">
        <v>-6942.2451615431428</v>
      </c>
      <c r="E48" s="57">
        <f t="shared" si="15"/>
        <v>-140.74993852336866</v>
      </c>
    </row>
    <row r="49" spans="2:5" x14ac:dyDescent="0.15">
      <c r="B49" s="24">
        <v>2015</v>
      </c>
      <c r="C49" s="57">
        <v>7440.4487027416426</v>
      </c>
      <c r="D49" s="57">
        <v>-7567.4204243719369</v>
      </c>
      <c r="E49" s="57">
        <f t="shared" si="15"/>
        <v>-126.97172163029427</v>
      </c>
    </row>
    <row r="50" spans="2:5" x14ac:dyDescent="0.15">
      <c r="B50" s="24">
        <v>2016</v>
      </c>
      <c r="C50" s="57">
        <v>7950.8343477178978</v>
      </c>
      <c r="D50" s="57">
        <v>-8099.9434661529767</v>
      </c>
      <c r="E50" s="57">
        <f t="shared" si="15"/>
        <v>-149.10911843507893</v>
      </c>
    </row>
    <row r="51" spans="2:5" x14ac:dyDescent="0.15">
      <c r="B51" s="24"/>
      <c r="C51" s="24"/>
      <c r="D51" s="53"/>
      <c r="E51" s="53"/>
    </row>
    <row r="52" spans="2:5" x14ac:dyDescent="0.15">
      <c r="B52" s="24"/>
      <c r="C52" s="24"/>
      <c r="D52" s="53"/>
      <c r="E52" s="53"/>
    </row>
    <row r="53" spans="2:5" x14ac:dyDescent="0.15">
      <c r="B53" s="24"/>
      <c r="C53" s="24"/>
      <c r="D53" s="53"/>
      <c r="E53" s="53"/>
    </row>
    <row r="54" spans="2:5" x14ac:dyDescent="0.15">
      <c r="B54" s="24"/>
      <c r="C54" s="24"/>
      <c r="D54" s="53"/>
      <c r="E54" s="53"/>
    </row>
    <row r="55" spans="2:5" ht="16" x14ac:dyDescent="0.2">
      <c r="B55" s="58" t="s">
        <v>2</v>
      </c>
      <c r="C55" s="59"/>
      <c r="D55" s="59"/>
      <c r="E55" s="59"/>
    </row>
    <row r="56" spans="2:5" ht="16" x14ac:dyDescent="0.2">
      <c r="B56" s="24"/>
      <c r="C56" s="43" t="s">
        <v>49</v>
      </c>
      <c r="D56" s="43" t="s">
        <v>42</v>
      </c>
      <c r="E56" s="44" t="s">
        <v>36</v>
      </c>
    </row>
    <row r="57" spans="2:5" x14ac:dyDescent="0.15">
      <c r="B57" s="24">
        <v>2005</v>
      </c>
      <c r="C57" s="57">
        <v>10.103596831412101</v>
      </c>
      <c r="D57" s="57">
        <v>-24.042867163112387</v>
      </c>
      <c r="E57" s="57">
        <f>+C57+D57</f>
        <v>-13.939270331700286</v>
      </c>
    </row>
    <row r="58" spans="2:5" x14ac:dyDescent="0.15">
      <c r="B58" s="24">
        <v>2006</v>
      </c>
      <c r="C58" s="57">
        <v>17.2420069334527</v>
      </c>
      <c r="D58" s="57">
        <v>-45.216305011339898</v>
      </c>
      <c r="E58" s="57">
        <f t="shared" ref="E58:E68" si="16">+C58+D58</f>
        <v>-27.974298077887198</v>
      </c>
    </row>
    <row r="59" spans="2:5" x14ac:dyDescent="0.15">
      <c r="B59" s="24">
        <v>2007</v>
      </c>
      <c r="C59" s="57">
        <v>29.539284148497352</v>
      </c>
      <c r="D59" s="57">
        <v>-50.236040161461403</v>
      </c>
      <c r="E59" s="57">
        <f t="shared" si="16"/>
        <v>-20.696756012964052</v>
      </c>
    </row>
    <row r="60" spans="2:5" x14ac:dyDescent="0.15">
      <c r="B60" s="24">
        <v>2008</v>
      </c>
      <c r="C60" s="57">
        <v>29.41918156551333</v>
      </c>
      <c r="D60" s="57">
        <v>-42.150415798355084</v>
      </c>
      <c r="E60" s="57">
        <f t="shared" si="16"/>
        <v>-12.731234232841754</v>
      </c>
    </row>
    <row r="61" spans="2:5" x14ac:dyDescent="0.15">
      <c r="B61" s="24">
        <v>2009</v>
      </c>
      <c r="C61" s="57">
        <v>47.128624415515262</v>
      </c>
      <c r="D61" s="57">
        <v>-53.34028843177822</v>
      </c>
      <c r="E61" s="57">
        <f t="shared" si="16"/>
        <v>-6.2116640162629579</v>
      </c>
    </row>
    <row r="62" spans="2:5" x14ac:dyDescent="0.15">
      <c r="B62" s="24">
        <v>2010</v>
      </c>
      <c r="C62" s="57">
        <v>23.058716875943617</v>
      </c>
      <c r="D62" s="57">
        <v>-49.332337822165812</v>
      </c>
      <c r="E62" s="57">
        <f t="shared" si="16"/>
        <v>-26.273620946222195</v>
      </c>
    </row>
    <row r="63" spans="2:5" x14ac:dyDescent="0.15">
      <c r="B63" s="24">
        <v>2011</v>
      </c>
      <c r="C63" s="57">
        <v>101.86473114762566</v>
      </c>
      <c r="D63" s="57">
        <v>-67.645926020354139</v>
      </c>
      <c r="E63" s="57">
        <f t="shared" si="16"/>
        <v>34.218805127271523</v>
      </c>
    </row>
    <row r="64" spans="2:5" x14ac:dyDescent="0.15">
      <c r="B64" s="24">
        <v>2012</v>
      </c>
      <c r="C64" s="57">
        <v>160.92118434125163</v>
      </c>
      <c r="D64" s="57">
        <v>-54.41937637874679</v>
      </c>
      <c r="E64" s="57">
        <f t="shared" si="16"/>
        <v>106.50180796250484</v>
      </c>
    </row>
    <row r="65" spans="2:5" x14ac:dyDescent="0.15">
      <c r="B65" s="24">
        <v>2013</v>
      </c>
      <c r="C65" s="57">
        <v>102.42227676877039</v>
      </c>
      <c r="D65" s="57">
        <v>-61.389873750184549</v>
      </c>
      <c r="E65" s="57">
        <f t="shared" si="16"/>
        <v>41.032403018585839</v>
      </c>
    </row>
    <row r="66" spans="2:5" x14ac:dyDescent="0.15">
      <c r="B66" s="24">
        <v>2014</v>
      </c>
      <c r="C66" s="57">
        <v>132.33267613322988</v>
      </c>
      <c r="D66" s="57">
        <v>-53.72506549714614</v>
      </c>
      <c r="E66" s="57">
        <f t="shared" si="16"/>
        <v>78.607610636083734</v>
      </c>
    </row>
    <row r="67" spans="2:5" x14ac:dyDescent="0.15">
      <c r="B67" s="24">
        <v>2015</v>
      </c>
      <c r="C67" s="57">
        <v>127.42616655113035</v>
      </c>
      <c r="D67" s="57">
        <v>-199.66173353706148</v>
      </c>
      <c r="E67" s="57">
        <f t="shared" si="16"/>
        <v>-72.235566985931129</v>
      </c>
    </row>
    <row r="68" spans="2:5" x14ac:dyDescent="0.15">
      <c r="B68" s="24">
        <v>2016</v>
      </c>
      <c r="C68" s="57">
        <v>164.12571749594034</v>
      </c>
      <c r="D68" s="57">
        <v>-136.62537247597984</v>
      </c>
      <c r="E68" s="57">
        <f t="shared" si="16"/>
        <v>27.500345019960491</v>
      </c>
    </row>
    <row r="69" spans="2:5" x14ac:dyDescent="0.15">
      <c r="B69" s="24"/>
      <c r="C69" s="24"/>
      <c r="D69" s="53"/>
      <c r="E69" s="53"/>
    </row>
    <row r="70" spans="2:5" x14ac:dyDescent="0.15">
      <c r="B70" s="24"/>
      <c r="C70" s="24"/>
      <c r="D70" s="53"/>
      <c r="E70" s="53"/>
    </row>
    <row r="71" spans="2:5" x14ac:dyDescent="0.15">
      <c r="B71" s="24"/>
      <c r="C71" s="24"/>
      <c r="D71" s="53"/>
      <c r="E71" s="53"/>
    </row>
    <row r="72" spans="2:5" ht="16" x14ac:dyDescent="0.2">
      <c r="B72" s="58" t="s">
        <v>46</v>
      </c>
      <c r="C72" s="59"/>
      <c r="D72" s="59"/>
      <c r="E72" s="59"/>
    </row>
    <row r="73" spans="2:5" ht="16" x14ac:dyDescent="0.2">
      <c r="B73" s="24"/>
      <c r="C73" s="43" t="s">
        <v>49</v>
      </c>
      <c r="D73" s="43" t="s">
        <v>42</v>
      </c>
      <c r="E73" s="44" t="s">
        <v>36</v>
      </c>
    </row>
    <row r="74" spans="2:5" x14ac:dyDescent="0.15">
      <c r="B74" s="24">
        <v>2005</v>
      </c>
      <c r="C74" s="57">
        <v>6341.0098635769436</v>
      </c>
      <c r="D74" s="57">
        <v>-3729.1905069164268</v>
      </c>
      <c r="E74" s="57">
        <f>+C74+D74</f>
        <v>2611.8193566605169</v>
      </c>
    </row>
    <row r="75" spans="2:5" x14ac:dyDescent="0.15">
      <c r="B75" s="24">
        <v>2006</v>
      </c>
      <c r="C75" s="57">
        <v>8001.5520178785446</v>
      </c>
      <c r="D75" s="57">
        <v>-4465.1638810569984</v>
      </c>
      <c r="E75" s="57">
        <f t="shared" ref="E75:E85" si="17">+C75+D75</f>
        <v>3536.3881368215461</v>
      </c>
    </row>
    <row r="76" spans="2:5" x14ac:dyDescent="0.15">
      <c r="B76" s="24">
        <v>2007</v>
      </c>
      <c r="C76" s="57">
        <v>8750.0612875589268</v>
      </c>
      <c r="D76" s="57">
        <v>-5181.9190487433707</v>
      </c>
      <c r="E76" s="57">
        <f t="shared" si="17"/>
        <v>3568.1422388155561</v>
      </c>
    </row>
    <row r="77" spans="2:5" x14ac:dyDescent="0.15">
      <c r="B77" s="24">
        <v>2008</v>
      </c>
      <c r="C77" s="57">
        <v>8626.8358082223494</v>
      </c>
      <c r="D77" s="57">
        <v>-5256.1361821463406</v>
      </c>
      <c r="E77" s="57">
        <f t="shared" si="17"/>
        <v>3370.6996260760088</v>
      </c>
    </row>
    <row r="78" spans="2:5" x14ac:dyDescent="0.15">
      <c r="B78" s="24">
        <v>2009</v>
      </c>
      <c r="C78" s="57">
        <v>8309.9360109991303</v>
      </c>
      <c r="D78" s="57">
        <v>-4563.2106926178822</v>
      </c>
      <c r="E78" s="57">
        <f t="shared" si="17"/>
        <v>3746.7253183812481</v>
      </c>
    </row>
    <row r="79" spans="2:5" x14ac:dyDescent="0.15">
      <c r="B79" s="24">
        <v>2010</v>
      </c>
      <c r="C79" s="57">
        <v>8450.4425637100685</v>
      </c>
      <c r="D79" s="57">
        <v>-5362.4048837886294</v>
      </c>
      <c r="E79" s="57">
        <f t="shared" si="17"/>
        <v>3088.0376799214391</v>
      </c>
    </row>
    <row r="80" spans="2:5" x14ac:dyDescent="0.15">
      <c r="B80" s="24">
        <v>2011</v>
      </c>
      <c r="C80" s="57">
        <v>9152.0634215415121</v>
      </c>
      <c r="D80" s="57">
        <v>-5549.2015706897218</v>
      </c>
      <c r="E80" s="57">
        <f t="shared" si="17"/>
        <v>3602.8618508517902</v>
      </c>
    </row>
    <row r="81" spans="2:5" x14ac:dyDescent="0.15">
      <c r="B81" s="24">
        <v>2012</v>
      </c>
      <c r="C81" s="57">
        <v>10701.394669483272</v>
      </c>
      <c r="D81" s="57">
        <v>-6488.3775598839584</v>
      </c>
      <c r="E81" s="57">
        <f t="shared" si="17"/>
        <v>4213.0171095993137</v>
      </c>
    </row>
    <row r="82" spans="2:5" x14ac:dyDescent="0.15">
      <c r="B82" s="24">
        <v>2013</v>
      </c>
      <c r="C82" s="57">
        <v>11132.44555607174</v>
      </c>
      <c r="D82" s="57">
        <v>-6898.799819112397</v>
      </c>
      <c r="E82" s="57">
        <f t="shared" si="17"/>
        <v>4233.6457369593427</v>
      </c>
    </row>
    <row r="83" spans="2:5" x14ac:dyDescent="0.15">
      <c r="B83" s="24">
        <v>2014</v>
      </c>
      <c r="C83" s="57">
        <v>11403.765403776189</v>
      </c>
      <c r="D83" s="57">
        <v>-7257.5419015752195</v>
      </c>
      <c r="E83" s="57">
        <f t="shared" si="17"/>
        <v>4146.22350220097</v>
      </c>
    </row>
    <row r="84" spans="2:5" x14ac:dyDescent="0.15">
      <c r="B84" s="24">
        <v>2015</v>
      </c>
      <c r="C84" s="57">
        <v>11754.808767848715</v>
      </c>
      <c r="D84" s="57">
        <v>-7220.3894729992462</v>
      </c>
      <c r="E84" s="57">
        <f t="shared" si="17"/>
        <v>4534.4192948494692</v>
      </c>
    </row>
    <row r="85" spans="2:5" x14ac:dyDescent="0.15">
      <c r="B85" s="24">
        <v>2016</v>
      </c>
      <c r="C85" s="57">
        <v>12520.494498842698</v>
      </c>
      <c r="D85" s="57">
        <v>-7293.3719301286428</v>
      </c>
      <c r="E85" s="57">
        <f t="shared" si="17"/>
        <v>5227.122568714055</v>
      </c>
    </row>
    <row r="91" spans="2:5" ht="16" x14ac:dyDescent="0.2">
      <c r="B91" s="58" t="s">
        <v>47</v>
      </c>
      <c r="C91" s="59"/>
      <c r="D91" s="59"/>
      <c r="E91" s="59"/>
    </row>
    <row r="92" spans="2:5" ht="16" x14ac:dyDescent="0.2">
      <c r="B92" s="24"/>
      <c r="C92" s="43" t="s">
        <v>49</v>
      </c>
      <c r="D92" s="43" t="s">
        <v>42</v>
      </c>
      <c r="E92" s="44" t="s">
        <v>36</v>
      </c>
    </row>
    <row r="93" spans="2:5" x14ac:dyDescent="0.15">
      <c r="B93" s="24">
        <v>2005</v>
      </c>
      <c r="C93" s="57">
        <f t="shared" ref="C93:D104" si="18">+C4+C22+C39+C57+C74</f>
        <v>11440.49081019939</v>
      </c>
      <c r="D93" s="57">
        <f t="shared" si="18"/>
        <v>-13816.909523104034</v>
      </c>
      <c r="E93" s="57">
        <f>+C93+D93</f>
        <v>-2376.4187129046441</v>
      </c>
    </row>
    <row r="94" spans="2:5" x14ac:dyDescent="0.15">
      <c r="B94" s="24">
        <v>2006</v>
      </c>
      <c r="C94" s="57">
        <f t="shared" si="18"/>
        <v>13335.251482016462</v>
      </c>
      <c r="D94" s="57">
        <f t="shared" si="18"/>
        <v>-15420.627415800358</v>
      </c>
      <c r="E94" s="57">
        <f t="shared" ref="E94:E104" si="19">+C94+D94</f>
        <v>-2085.3759337838965</v>
      </c>
    </row>
    <row r="95" spans="2:5" x14ac:dyDescent="0.15">
      <c r="B95" s="24">
        <v>2007</v>
      </c>
      <c r="C95" s="57">
        <f t="shared" si="18"/>
        <v>15454.739909690234</v>
      </c>
      <c r="D95" s="57">
        <f t="shared" si="18"/>
        <v>-16705.984576067178</v>
      </c>
      <c r="E95" s="57">
        <f t="shared" si="19"/>
        <v>-1251.2446663769442</v>
      </c>
    </row>
    <row r="96" spans="2:5" x14ac:dyDescent="0.15">
      <c r="B96" s="24">
        <v>2008</v>
      </c>
      <c r="C96" s="57">
        <f t="shared" si="18"/>
        <v>15233.370740537619</v>
      </c>
      <c r="D96" s="57">
        <f t="shared" si="18"/>
        <v>-17506.635781155983</v>
      </c>
      <c r="E96" s="57">
        <f t="shared" si="19"/>
        <v>-2273.2650406183639</v>
      </c>
    </row>
    <row r="97" spans="2:5" x14ac:dyDescent="0.15">
      <c r="B97" s="24">
        <v>2009</v>
      </c>
      <c r="C97" s="57">
        <f t="shared" si="18"/>
        <v>15854.51978360373</v>
      </c>
      <c r="D97" s="57">
        <f t="shared" si="18"/>
        <v>-19029.222884370647</v>
      </c>
      <c r="E97" s="57">
        <f t="shared" si="19"/>
        <v>-3174.7031007669175</v>
      </c>
    </row>
    <row r="98" spans="2:5" x14ac:dyDescent="0.15">
      <c r="B98" s="24">
        <v>2010</v>
      </c>
      <c r="C98" s="57">
        <f t="shared" si="18"/>
        <v>17247.599255834124</v>
      </c>
      <c r="D98" s="57">
        <f t="shared" si="18"/>
        <v>-23098.850008187223</v>
      </c>
      <c r="E98" s="57">
        <f t="shared" si="19"/>
        <v>-5851.2507523530985</v>
      </c>
    </row>
    <row r="99" spans="2:5" x14ac:dyDescent="0.15">
      <c r="B99" s="24">
        <v>2011</v>
      </c>
      <c r="C99" s="57">
        <f t="shared" si="18"/>
        <v>18113.000229071506</v>
      </c>
      <c r="D99" s="57">
        <f t="shared" si="18"/>
        <v>-25546.776409742532</v>
      </c>
      <c r="E99" s="57">
        <f t="shared" si="19"/>
        <v>-7433.7761806710259</v>
      </c>
    </row>
    <row r="100" spans="2:5" x14ac:dyDescent="0.15">
      <c r="B100" s="24">
        <v>2012</v>
      </c>
      <c r="C100" s="57">
        <f t="shared" si="18"/>
        <v>20001.023957610007</v>
      </c>
      <c r="D100" s="57">
        <f t="shared" si="18"/>
        <v>-28967.244548601368</v>
      </c>
      <c r="E100" s="57">
        <f t="shared" si="19"/>
        <v>-8966.220590991361</v>
      </c>
    </row>
    <row r="101" spans="2:5" x14ac:dyDescent="0.15">
      <c r="B101" s="24">
        <v>2013</v>
      </c>
      <c r="C101" s="57">
        <f t="shared" si="18"/>
        <v>23275.579946955673</v>
      </c>
      <c r="D101" s="57">
        <f t="shared" si="18"/>
        <v>-33175.798685623362</v>
      </c>
      <c r="E101" s="57">
        <f t="shared" si="19"/>
        <v>-9900.2187386676887</v>
      </c>
    </row>
    <row r="102" spans="2:5" x14ac:dyDescent="0.15">
      <c r="B102" s="24">
        <v>2014</v>
      </c>
      <c r="C102" s="57">
        <f t="shared" si="18"/>
        <v>23631.407833178579</v>
      </c>
      <c r="D102" s="57">
        <f t="shared" si="18"/>
        <v>-34238.80257377278</v>
      </c>
      <c r="E102" s="57">
        <f t="shared" si="19"/>
        <v>-10607.394740594202</v>
      </c>
    </row>
    <row r="103" spans="2:5" x14ac:dyDescent="0.15">
      <c r="B103" s="24">
        <v>2015</v>
      </c>
      <c r="C103" s="57">
        <f t="shared" si="18"/>
        <v>25045.95940196242</v>
      </c>
      <c r="D103" s="57">
        <f t="shared" si="18"/>
        <v>-35227.267529738194</v>
      </c>
      <c r="E103" s="57">
        <f t="shared" si="19"/>
        <v>-10181.308127775774</v>
      </c>
    </row>
    <row r="104" spans="2:5" x14ac:dyDescent="0.15">
      <c r="B104" s="24">
        <v>2016</v>
      </c>
      <c r="C104" s="57">
        <f t="shared" si="18"/>
        <v>27203.732916600609</v>
      </c>
      <c r="D104" s="57">
        <f t="shared" si="18"/>
        <v>-37957.109403439725</v>
      </c>
      <c r="E104" s="57">
        <f t="shared" si="19"/>
        <v>-10753.376486839115</v>
      </c>
    </row>
  </sheetData>
  <mergeCells count="8">
    <mergeCell ref="B72:E72"/>
    <mergeCell ref="B91:E91"/>
    <mergeCell ref="B2:E2"/>
    <mergeCell ref="O2:T2"/>
    <mergeCell ref="V2:AA2"/>
    <mergeCell ref="B20:E20"/>
    <mergeCell ref="B37:E37"/>
    <mergeCell ref="B55:E55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BSA</vt:lpstr>
      <vt:lpstr>Posición Sectorial a PIB</vt:lpstr>
      <vt:lpstr>Posición Sectorial en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Iván Pascual</dc:creator>
  <cp:lastModifiedBy>Oscar Iván Pascual</cp:lastModifiedBy>
  <dcterms:created xsi:type="dcterms:W3CDTF">2026-04-25T14:25:30Z</dcterms:created>
  <dcterms:modified xsi:type="dcterms:W3CDTF">2026-04-25T14:44:23Z</dcterms:modified>
</cp:coreProperties>
</file>